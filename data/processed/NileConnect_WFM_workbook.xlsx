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rlang C" sheetId="2" r:id="rId2"/>
    <sheet name="Interval report" sheetId="3" r:id="rId3"/>
    <sheet name="Shrinkage" sheetId="4" r:id="rId4"/>
    <sheet name="Capacity plan" sheetId="5" r:id="rId5"/>
    <sheet name="Adherence" sheetId="6" r:id="rId6"/>
  </sheets>
  <definedNames>
    <definedName name="_xlnm._FilterDatabase" localSheetId="5" hidden="1">Adherence!$A$5:$J$134</definedName>
    <definedName name="_xlnm._FilterDatabase" localSheetId="2" hidden="1">'Interval report'!$A$4:$P$52</definedName>
    <definedName name="_xlnm._FilterDatabase" localSheetId="3" hidden="1">Shrinkage!$A$17:$F$49</definedName>
  </definedNames>
  <calcPr calcId="124519" fullCalcOnLoad="1"/>
</workbook>
</file>

<file path=xl/sharedStrings.xml><?xml version="1.0" encoding="utf-8"?>
<sst xmlns="http://schemas.openxmlformats.org/spreadsheetml/2006/main" count="515" uniqueCount="323">
  <si>
    <t>NileConnect WFM workbook</t>
  </si>
  <si>
    <t>NileConnect is a fictional Cairo telecom contact centre; all data is synthetic.</t>
  </si>
  <si>
    <t>Yellow cells are inputs. Every other calculated cell is a live Excel formula.</t>
  </si>
  <si>
    <t>Sheet</t>
  </si>
  <si>
    <t>What it does</t>
  </si>
  <si>
    <t>Erlang C</t>
  </si>
  <si>
    <t>Staffing calculator: P(wait), service level, ASA and occupancy for any calls/AHT; finds the agents needed.</t>
  </si>
  <si>
    <t>Interval report</t>
  </si>
  <si>
    <t>Plan vs actual every 30 minutes for the outage day, with variance, over/under, totals and status.</t>
  </si>
  <si>
    <t>Shrinkage</t>
  </si>
  <si>
    <t>Planned shrinkage components with the compounded total, and actual weekly in-day shrinkage.</t>
  </si>
  <si>
    <t>Capacity plan</t>
  </si>
  <si>
    <t>26-week required vs available FTE for AR_TECH, driven by the shrinkage total; recommended hires.</t>
  </si>
  <si>
    <t>Adherence</t>
  </si>
  <si>
    <t>Agent adherence and conformance for the outage day, coaching flags and a team summary.</t>
  </si>
  <si>
    <t>Erlang C staffing calculator</t>
  </si>
  <si>
    <t>Change the yellow inputs; the table and the required agents update. P(wait) uses POISSON.DIST.</t>
  </si>
  <si>
    <t>Calls per interval</t>
  </si>
  <si>
    <t>AHT (seconds)</t>
  </si>
  <si>
    <t>Interval length (seconds)</t>
  </si>
  <si>
    <t>Service level target</t>
  </si>
  <si>
    <t>Answer within (seconds)</t>
  </si>
  <si>
    <t>Maximum occupancy</t>
  </si>
  <si>
    <t>Traffic intensity (Erlangs)</t>
  </si>
  <si>
    <t>Required agents</t>
  </si>
  <si>
    <t>Service level at that staffing</t>
  </si>
  <si>
    <t>Agents</t>
  </si>
  <si>
    <t>P(wait)</t>
  </si>
  <si>
    <t>Service level</t>
  </si>
  <si>
    <t>ASA (s)</t>
  </si>
  <si>
    <t>Occupancy</t>
  </si>
  <si>
    <t>Meets target</t>
  </si>
  <si>
    <t>Interval report - Technical Support (Arabic) - Tue 22 Sep 2026</t>
  </si>
  <si>
    <t>Plan vs actual every 30 minutes. Variance, over/under, totals and status are formulas.</t>
  </si>
  <si>
    <t>Interval</t>
  </si>
  <si>
    <t>Forecast</t>
  </si>
  <si>
    <t>Offered</t>
  </si>
  <si>
    <t>Volume var</t>
  </si>
  <si>
    <t>AHT forecast</t>
  </si>
  <si>
    <t>AHT actual</t>
  </si>
  <si>
    <t>AHT var</t>
  </si>
  <si>
    <t>Required</t>
  </si>
  <si>
    <t>Scheduled</t>
  </si>
  <si>
    <t>Staffed</t>
  </si>
  <si>
    <t>Over / under</t>
  </si>
  <si>
    <t>Answered in SL</t>
  </si>
  <si>
    <t>Abandoned</t>
  </si>
  <si>
    <t>Abandon rate</t>
  </si>
  <si>
    <t>Status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</si>
  <si>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</si>
  <si>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</si>
  <si>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</si>
  <si>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</si>
  <si>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</si>
  <si>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</si>
  <si>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</si>
  <si>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</si>
  <si>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</si>
  <si>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</si>
  <si>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</si>
  <si>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</si>
  <si>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</si>
  <si>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</si>
  <si>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</si>
  <si>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</si>
  <si>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</si>
  <si>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</si>
  <si>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</si>
  <si>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</si>
  <si>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</si>
  <si>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</si>
  <si>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</si>
  <si>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</si>
  <si>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</si>
  <si>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</si>
  <si>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</si>
  <si>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</si>
  <si>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</si>
  <si>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</si>
  <si>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</si>
  <si>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</si>
  <si>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</si>
  <si>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</si>
  <si>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</si>
  <si>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</si>
  <si>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</si>
  <si>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</si>
  <si>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</si>
  <si>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</si>
  <si>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</si>
  <si>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</si>
  <si>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</si>
  <si>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</si>
  <si>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</si>
  <si>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</si>
  <si>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</si>
  <si>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</si>
  <si>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Day</t>
  </si>
  <si>
    <t>Shrinkage report</t>
  </si>
  <si>
    <t>Planned components are inputs. Total = 1 - product of (1 - each), via EXP(SUMPRODUCT(LN(1 - range))).</t>
  </si>
  <si>
    <t>Component</t>
  </si>
  <si>
    <t>Type</t>
  </si>
  <si>
    <t>Planned</t>
  </si>
  <si>
    <t>Annual leave</t>
  </si>
  <si>
    <t>Training</t>
  </si>
  <si>
    <t>Coaching</t>
  </si>
  <si>
    <t>Meetings</t>
  </si>
  <si>
    <t>Sickness</t>
  </si>
  <si>
    <t>Unplanned</t>
  </si>
  <si>
    <t>Absence</t>
  </si>
  <si>
    <t>Aux overrun</t>
  </si>
  <si>
    <t>Total (compounded)</t>
  </si>
  <si>
    <t>Simple sum (overstates)</t>
  </si>
  <si>
    <t>Unplanned (compounded)</t>
  </si>
  <si>
    <t>Actual in-day shrinkage by week (scheduled phone time lost to absence and aux)</t>
  </si>
  <si>
    <t>Week starting</t>
  </si>
  <si>
    <t>Queue</t>
  </si>
  <si>
    <t>Scheduled hours</t>
  </si>
  <si>
    <t>Staffed hours</t>
  </si>
  <si>
    <t>Hours lost</t>
  </si>
  <si>
    <t>In-day shrinkage</t>
  </si>
  <si>
    <t>02 Aug 2026</t>
  </si>
  <si>
    <t>AR_BILLING</t>
  </si>
  <si>
    <t>AR_TECH</t>
  </si>
  <si>
    <t>EN_SUPPORT</t>
  </si>
  <si>
    <t>SALES</t>
  </si>
  <si>
    <t>09 Aug 2026</t>
  </si>
  <si>
    <t>16 Aug 2026</t>
  </si>
  <si>
    <t>23 Aug 2026</t>
  </si>
  <si>
    <t>30 Aug 2026</t>
  </si>
  <si>
    <t>06 Sep 2026</t>
  </si>
  <si>
    <t>13 Sep 2026</t>
  </si>
  <si>
    <t>20 Sep 2026</t>
  </si>
  <si>
    <t>26-week capacity plan - Technical Support (Arabic)</t>
  </si>
  <si>
    <t>Required FTE = agent-hours / (1 - total shrinkage on the Shrinkage sheet) / 40h. Change shrinkage there and this sheet updates.</t>
  </si>
  <si>
    <t>Contract hours per week</t>
  </si>
  <si>
    <t>Forecast calls</t>
  </si>
  <si>
    <t>Agent-hours needed</t>
  </si>
  <si>
    <t>Required FTE</t>
  </si>
  <si>
    <t>Available FTE</t>
  </si>
  <si>
    <t>Gap FTE</t>
  </si>
  <si>
    <t>Gap %</t>
  </si>
  <si>
    <t>New hires starting training</t>
  </si>
  <si>
    <t>04 Oct 2026</t>
  </si>
  <si>
    <t>11 Oct 2026</t>
  </si>
  <si>
    <t>18 Oct 2026</t>
  </si>
  <si>
    <t>25 Oct 2026</t>
  </si>
  <si>
    <t>01 Nov 2026</t>
  </si>
  <si>
    <t>08 Nov 2026</t>
  </si>
  <si>
    <t>15 Nov 2026</t>
  </si>
  <si>
    <t>22 Nov 2026</t>
  </si>
  <si>
    <t>29 Nov 2026</t>
  </si>
  <si>
    <t>06 Dec 2026</t>
  </si>
  <si>
    <t>13 Dec 2026</t>
  </si>
  <si>
    <t>20 Dec 2026</t>
  </si>
  <si>
    <t>27 Dec 2026</t>
  </si>
  <si>
    <t>03 Jan 2027</t>
  </si>
  <si>
    <t>10 Jan 2027</t>
  </si>
  <si>
    <t>17 Jan 2027</t>
  </si>
  <si>
    <t>24 Jan 2027</t>
  </si>
  <si>
    <t>31 Jan 2027</t>
  </si>
  <si>
    <t>07 Feb 2027</t>
  </si>
  <si>
    <t>14 Feb 2027</t>
  </si>
  <si>
    <t>21 Feb 2027</t>
  </si>
  <si>
    <t>28 Feb 2027</t>
  </si>
  <si>
    <t>07 Mar 2027</t>
  </si>
  <si>
    <t>14 Mar 2027</t>
  </si>
  <si>
    <t>21 Mar 2027</t>
  </si>
  <si>
    <t>28 Mar 2027</t>
  </si>
  <si>
    <t>Total hires</t>
  </si>
  <si>
    <t>Schedule adherence - Technical Support (Arabic) - Tue 22 Sep 2026</t>
  </si>
  <si>
    <t>Adherence = in-adherence minutes / scheduled minutes. Conformance = phone minutes worked / phone minutes scheduled.</t>
  </si>
  <si>
    <t>Coaching threshold</t>
  </si>
  <si>
    <t>Agent</t>
  </si>
  <si>
    <t>Team</t>
  </si>
  <si>
    <t>Scheduled min</t>
  </si>
  <si>
    <t>Out of adherence min</t>
  </si>
  <si>
    <t>Scheduled phone min</t>
  </si>
  <si>
    <t>Phone min worked</t>
  </si>
  <si>
    <t>Conformance</t>
  </si>
  <si>
    <t>Unscheduled aux min</t>
  </si>
  <si>
    <t>Action</t>
  </si>
  <si>
    <t>NC-TS-0104</t>
  </si>
  <si>
    <t>Team 08</t>
  </si>
  <si>
    <t>NC-TS-0063</t>
  </si>
  <si>
    <t>Team 05</t>
  </si>
  <si>
    <t>NC-TS-0036</t>
  </si>
  <si>
    <t>Team 03</t>
  </si>
  <si>
    <t>NC-TS-0103</t>
  </si>
  <si>
    <t>NC-TS-0077</t>
  </si>
  <si>
    <t>Team 06</t>
  </si>
  <si>
    <t>NC-TS-0102</t>
  </si>
  <si>
    <t>NC-TS-0105</t>
  </si>
  <si>
    <t>NC-TS-0047</t>
  </si>
  <si>
    <t>Team 04</t>
  </si>
  <si>
    <t>NC-TS-0064</t>
  </si>
  <si>
    <t>NC-TS-0078</t>
  </si>
  <si>
    <t>NC-TS-0024</t>
  </si>
  <si>
    <t>Team 02</t>
  </si>
  <si>
    <t>NC-TS-0107</t>
  </si>
  <si>
    <t>NC-TS-0071</t>
  </si>
  <si>
    <t>NC-TS-0083</t>
  </si>
  <si>
    <t>NC-TS-0009</t>
  </si>
  <si>
    <t>Team 01</t>
  </si>
  <si>
    <t>NC-TS-0058</t>
  </si>
  <si>
    <t>NC-TS-0034</t>
  </si>
  <si>
    <t>NC-TS-0118</t>
  </si>
  <si>
    <t>Team 09</t>
  </si>
  <si>
    <t>NC-TS-0114</t>
  </si>
  <si>
    <t>NC-TS-0088</t>
  </si>
  <si>
    <t>Team 07</t>
  </si>
  <si>
    <t>NC-TS-0085</t>
  </si>
  <si>
    <t>NC-TS-0089</t>
  </si>
  <si>
    <t>NC-TS-0111</t>
  </si>
  <si>
    <t>NC-TS-0073</t>
  </si>
  <si>
    <t>NC-TS-0093</t>
  </si>
  <si>
    <t>NC-TS-0101</t>
  </si>
  <si>
    <t>NC-TS-0092</t>
  </si>
  <si>
    <t>NC-TS-0037</t>
  </si>
  <si>
    <t>NC-TS-0042</t>
  </si>
  <si>
    <t>NC-TS-0039</t>
  </si>
  <si>
    <t>NC-TS-0090</t>
  </si>
  <si>
    <t>NC-TS-0033</t>
  </si>
  <si>
    <t>NC-TS-0057</t>
  </si>
  <si>
    <t>NC-TS-0075</t>
  </si>
  <si>
    <t>NC-TS-0117</t>
  </si>
  <si>
    <t>NC-TS-0109</t>
  </si>
  <si>
    <t>NC-TS-0081</t>
  </si>
  <si>
    <t>NC-TS-0045</t>
  </si>
  <si>
    <t>NC-TS-0108</t>
  </si>
  <si>
    <t>NC-TS-0086</t>
  </si>
  <si>
    <t>NC-TS-0072</t>
  </si>
  <si>
    <t>NC-TS-0067</t>
  </si>
  <si>
    <t>NC-TS-0066</t>
  </si>
  <si>
    <t>NC-TS-0079</t>
  </si>
  <si>
    <t>NC-TS-0098</t>
  </si>
  <si>
    <t>NC-TS-0119</t>
  </si>
  <si>
    <t>NC-TS-0035</t>
  </si>
  <si>
    <t>NC-TS-0038</t>
  </si>
  <si>
    <t>NC-TS-0007</t>
  </si>
  <si>
    <t>NC-TS-0048</t>
  </si>
  <si>
    <t>NC-TS-0068</t>
  </si>
  <si>
    <t>NC-TS-0065</t>
  </si>
  <si>
    <t>NC-TS-0040</t>
  </si>
  <si>
    <t>NC-TS-0020</t>
  </si>
  <si>
    <t>NC-TS-0022</t>
  </si>
  <si>
    <t>NC-TS-0008</t>
  </si>
  <si>
    <t>NC-TS-0027</t>
  </si>
  <si>
    <t>NC-TS-0032</t>
  </si>
  <si>
    <t>NC-TS-0052</t>
  </si>
  <si>
    <t>NC-TS-0053</t>
  </si>
  <si>
    <t>NC-TS-0126</t>
  </si>
  <si>
    <t>NC-TS-0112</t>
  </si>
  <si>
    <t>NC-TS-0110</t>
  </si>
  <si>
    <t>NC-TS-0122</t>
  </si>
  <si>
    <t>NC-TS-0121</t>
  </si>
  <si>
    <t>NC-TS-0106</t>
  </si>
  <si>
    <t>NC-TS-0080</t>
  </si>
  <si>
    <t>NC-TS-0099</t>
  </si>
  <si>
    <t>NC-TS-0055</t>
  </si>
  <si>
    <t>NC-TS-0025</t>
  </si>
  <si>
    <t>NC-TS-0018</t>
  </si>
  <si>
    <t>NC-TS-0011</t>
  </si>
  <si>
    <t>NC-TS-0012</t>
  </si>
  <si>
    <t>NC-TS-0004</t>
  </si>
  <si>
    <t>NC-TS-0069</t>
  </si>
  <si>
    <t>NC-TS-0091</t>
  </si>
  <si>
    <t>NC-TS-0097</t>
  </si>
  <si>
    <t>NC-TS-0100</t>
  </si>
  <si>
    <t>NC-TS-0059</t>
  </si>
  <si>
    <t>NC-TS-0028</t>
  </si>
  <si>
    <t>NC-TS-0043</t>
  </si>
  <si>
    <t>NC-TS-0001</t>
  </si>
  <si>
    <t>NC-TS-0016</t>
  </si>
  <si>
    <t>NC-TS-0015</t>
  </si>
  <si>
    <t>NC-TS-0014</t>
  </si>
  <si>
    <t>NC-TS-0017</t>
  </si>
  <si>
    <t>NC-TS-0010</t>
  </si>
  <si>
    <t>NC-TS-0002</t>
  </si>
  <si>
    <t>NC-TS-0006</t>
  </si>
  <si>
    <t>NC-TS-0003</t>
  </si>
  <si>
    <t>NC-TS-0023</t>
  </si>
  <si>
    <t>NC-TS-0019</t>
  </si>
  <si>
    <t>NC-TS-0030</t>
  </si>
  <si>
    <t>NC-TS-0013</t>
  </si>
  <si>
    <t>NC-TS-0026</t>
  </si>
  <si>
    <t>NC-TS-0031</t>
  </si>
  <si>
    <t>NC-TS-0005</t>
  </si>
  <si>
    <t>NC-TS-0062</t>
  </si>
  <si>
    <t>NC-TS-0061</t>
  </si>
  <si>
    <t>NC-TS-0060</t>
  </si>
  <si>
    <t>NC-TS-0056</t>
  </si>
  <si>
    <t>NC-TS-0050</t>
  </si>
  <si>
    <t>NC-TS-0051</t>
  </si>
  <si>
    <t>NC-TS-0054</t>
  </si>
  <si>
    <t>NC-TS-0049</t>
  </si>
  <si>
    <t>NC-TS-0041</t>
  </si>
  <si>
    <t>NC-TS-0044</t>
  </si>
  <si>
    <t>NC-TS-0046</t>
  </si>
  <si>
    <t>NC-TS-0021</t>
  </si>
  <si>
    <t>NC-TS-0029</t>
  </si>
  <si>
    <t>NC-TS-0070</t>
  </si>
  <si>
    <t>NC-TS-0076</t>
  </si>
  <si>
    <t>NC-TS-0074</t>
  </si>
  <si>
    <t>NC-TS-0096</t>
  </si>
  <si>
    <t>NC-TS-0095</t>
  </si>
  <si>
    <t>NC-TS-0094</t>
  </si>
  <si>
    <t>NC-TS-0087</t>
  </si>
  <si>
    <t>NC-TS-0084</t>
  </si>
  <si>
    <t>NC-TS-0082</t>
  </si>
  <si>
    <t>NC-TS-0113</t>
  </si>
  <si>
    <t>NC-TS-0115</t>
  </si>
  <si>
    <t>NC-TS-0120</t>
  </si>
  <si>
    <t>NC-TS-0116</t>
  </si>
  <si>
    <t>NC-TS-0124</t>
  </si>
  <si>
    <t>NC-TS-0123</t>
  </si>
  <si>
    <t>NC-TS-0125</t>
  </si>
  <si>
    <t>NC-TS-0127</t>
  </si>
  <si>
    <t>Team 10</t>
  </si>
  <si>
    <t>NC-TS-0128</t>
  </si>
  <si>
    <t>NC-TS-0129</t>
  </si>
  <si>
    <t>Average adherence</t>
  </si>
  <si>
    <t>Average conformance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</si>
</sst>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#,##0"/>
  </numFmts>
  <fonts count="7">
    <font>
      <sz val="11"/>
      <color theme="1"/>
      <name val="Calibri"/>
      <family val="2"/>
      <scheme val="minor"/>
    </font>
    <font>
      <b/>
      <sz val="16"/>
      <color rgb="FF0F2742"/>
      <name val="Calibri"/>
      <family val="2"/>
      <scheme val="minor"/>
    </font>
    <font>
      <i/>
      <sz val="11"/>
      <color rgb="FF52514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3"/>
      <color rgb="FF2A78D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2742"/>
        <bgColor indexed="64"/>
      </patternFill>
    </fill>
    <fill>
      <patternFill patternType="solid">
        <fgColor rgb="FFFFF7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0" xfId="1" applyAlignment="1" applyProtection="1"/>
    <xf numFmtId="0" fontId="0" fillId="0" borderId="1" xfId="0" applyBorder="1"/>
    <xf numFmtId="0" fontId="5" fillId="0" borderId="0" xfId="0" applyFont="1"/>
    <xf numFmtId="0" fontId="0" fillId="3" borderId="1" xfId="0" applyFill="1" applyBorder="1"/>
    <xf numFmtId="164" fontId="0" fillId="3" borderId="1" xfId="0" applyNumberFormat="1" applyFill="1" applyBorder="1"/>
    <xf numFmtId="165" fontId="6" fillId="0" borderId="0" xfId="0" applyNumberFormat="1" applyFont="1"/>
    <xf numFmtId="1" fontId="6" fillId="0" borderId="0" xfId="0" applyNumberFormat="1" applyFont="1"/>
    <xf numFmtId="164" fontId="6" fillId="0" borderId="0" xfId="0" applyNumberFormat="1" applyFont="1"/>
    <xf numFmtId="166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5" fillId="0" borderId="1" xfId="0" applyNumberFormat="1" applyFont="1" applyBorder="1"/>
    <xf numFmtId="164" fontId="5" fillId="0" borderId="1" xfId="0" applyNumberFormat="1" applyFont="1" applyBorder="1"/>
  </cellXfs>
  <cellStyles count="2">
    <cellStyle name="Hyperlink" xfId="1" builtinId="8"/>
    <cellStyle name="Normal" xfId="0" builtinId="0"/>
  </cellStyles>
  <dxfs count="3">
    <dxf>
      <fill>
        <patternFill>
          <bgColor rgb="FFE3F4E3"/>
        </patternFill>
      </fill>
    </dxf>
    <dxf>
      <font>
        <color rgb="FFA42828"/>
      </font>
      <fill>
        <patternFill>
          <bgColor rgb="FFFBE3E3"/>
        </patternFill>
      </fill>
    </dxf>
    <dxf>
      <fill>
        <patternFill>
          <bgColor rgb="FFFDF0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Required vs available FTE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Required FTE</c:v>
          </c:tx>
          <c:spPr>
            <a:ln w="25400">
              <a:solidFill>
                <a:srgbClr val="2B2B29"/>
              </a:solidFill>
            </a:ln>
          </c:spPr>
          <c:marker>
            <c:symbol val="none"/>
          </c:marker>
          <c:cat>
            <c:strRef>
              <c:f>'Capacity plan'!$A$6:$A$31</c:f>
              <c:strCache>
                <c:ptCount val="26"/>
                <c:pt idx="0">
                  <c:v>04 Oct 2026</c:v>
                </c:pt>
                <c:pt idx="1">
                  <c:v>11 Oct 2026</c:v>
                </c:pt>
                <c:pt idx="2">
                  <c:v>18 Oct 2026</c:v>
                </c:pt>
                <c:pt idx="3">
                  <c:v>25 Oct 2026</c:v>
                </c:pt>
                <c:pt idx="4">
                  <c:v>01 Nov 2026</c:v>
                </c:pt>
                <c:pt idx="5">
                  <c:v>08 Nov 2026</c:v>
                </c:pt>
                <c:pt idx="6">
                  <c:v>15 Nov 2026</c:v>
                </c:pt>
                <c:pt idx="7">
                  <c:v>22 Nov 2026</c:v>
                </c:pt>
                <c:pt idx="8">
                  <c:v>29 Nov 2026</c:v>
                </c:pt>
                <c:pt idx="9">
                  <c:v>06 Dec 2026</c:v>
                </c:pt>
                <c:pt idx="10">
                  <c:v>13 Dec 2026</c:v>
                </c:pt>
                <c:pt idx="11">
                  <c:v>20 Dec 2026</c:v>
                </c:pt>
                <c:pt idx="12">
                  <c:v>27 Dec 2026</c:v>
                </c:pt>
                <c:pt idx="13">
                  <c:v>03 Jan 2027</c:v>
                </c:pt>
                <c:pt idx="14">
                  <c:v>10 Jan 2027</c:v>
                </c:pt>
                <c:pt idx="15">
                  <c:v>17 Jan 2027</c:v>
                </c:pt>
                <c:pt idx="16">
                  <c:v>24 Jan 2027</c:v>
                </c:pt>
                <c:pt idx="17">
                  <c:v>31 Jan 2027</c:v>
                </c:pt>
                <c:pt idx="18">
                  <c:v>07 Feb 2027</c:v>
                </c:pt>
                <c:pt idx="19">
                  <c:v>14 Feb 2027</c:v>
                </c:pt>
                <c:pt idx="20">
                  <c:v>21 Feb 2027</c:v>
                </c:pt>
                <c:pt idx="21">
                  <c:v>28 Feb 2027</c:v>
                </c:pt>
                <c:pt idx="22">
                  <c:v>07 Mar 2027</c:v>
                </c:pt>
                <c:pt idx="23">
                  <c:v>14 Mar 2027</c:v>
                </c:pt>
                <c:pt idx="24">
                  <c:v>21 Mar 2027</c:v>
                </c:pt>
                <c:pt idx="25">
                  <c:v>28 Mar 2027</c:v>
                </c:pt>
              </c:strCache>
            </c:strRef>
          </c:cat>
          <c:val>
            <c:numRef>
              <c:f>'Capacity plan'!$D$6:$D$31</c:f>
              <c:numCache>
                <c:formatCode>General</c:formatCode>
                <c:ptCount val="26"/>
                <c:pt idx="0">
                  <c:v>138.69009482766023</c:v>
                </c:pt>
                <c:pt idx="1">
                  <c:v>145.6191127901137</c:v>
                </c:pt>
                <c:pt idx="2">
                  <c:v>146.05805510447726</c:v>
                </c:pt>
                <c:pt idx="3">
                  <c:v>146.62240950865902</c:v>
                </c:pt>
                <c:pt idx="4">
                  <c:v>153.45736840374883</c:v>
                </c:pt>
                <c:pt idx="5">
                  <c:v>150.38477220320388</c:v>
                </c:pt>
                <c:pt idx="6">
                  <c:v>147.7354418057952</c:v>
                </c:pt>
                <c:pt idx="7">
                  <c:v>148.9268566590677</c:v>
                </c:pt>
                <c:pt idx="8">
                  <c:v>154.55472418965775</c:v>
                </c:pt>
                <c:pt idx="9">
                  <c:v>153.1124851567489</c:v>
                </c:pt>
                <c:pt idx="10">
                  <c:v>152.9086905107944</c:v>
                </c:pt>
                <c:pt idx="11">
                  <c:v>149.74203524288578</c:v>
                </c:pt>
                <c:pt idx="12">
                  <c:v>153.08113213429436</c:v>
                </c:pt>
                <c:pt idx="13">
                  <c:v>145.7288483687046</c:v>
                </c:pt>
                <c:pt idx="14">
                  <c:v>153.37898584761248</c:v>
                </c:pt>
                <c:pt idx="15">
                  <c:v>153.17519120165798</c:v>
                </c:pt>
                <c:pt idx="16">
                  <c:v>143.65954888670493</c:v>
                </c:pt>
                <c:pt idx="17">
                  <c:v>156.6867297165665</c:v>
                </c:pt>
                <c:pt idx="18">
                  <c:v>164.57201486388348</c:v>
                </c:pt>
                <c:pt idx="19">
                  <c:v>164.00766045970175</c:v>
                </c:pt>
                <c:pt idx="20">
                  <c:v>163.85089534742903</c:v>
                </c:pt>
                <c:pt idx="21">
                  <c:v>171.76753351720055</c:v>
                </c:pt>
                <c:pt idx="22">
                  <c:v>132.529225915343</c:v>
                </c:pt>
                <c:pt idx="23">
                  <c:v>152.9557200444762</c:v>
                </c:pt>
                <c:pt idx="24">
                  <c:v>154.1157818752942</c:v>
                </c:pt>
                <c:pt idx="25">
                  <c:v>154.3195765212487</c:v>
                </c:pt>
              </c:numCache>
            </c:numRef>
          </c:val>
        </c:ser>
        <c:ser>
          <c:idx val="1"/>
          <c:order val="1"/>
          <c:tx>
            <c:v>Available FTE</c:v>
          </c:tx>
          <c:spPr>
            <a:ln w="28575">
              <a:solidFill>
                <a:srgbClr val="2A78D6"/>
              </a:solidFill>
            </a:ln>
          </c:spPr>
          <c:marker>
            <c:symbol val="none"/>
          </c:marker>
          <c:cat>
            <c:strRef>
              <c:f>'Capacity plan'!$A$6:$A$31</c:f>
              <c:strCache>
                <c:ptCount val="26"/>
                <c:pt idx="0">
                  <c:v>04 Oct 2026</c:v>
                </c:pt>
                <c:pt idx="1">
                  <c:v>11 Oct 2026</c:v>
                </c:pt>
                <c:pt idx="2">
                  <c:v>18 Oct 2026</c:v>
                </c:pt>
                <c:pt idx="3">
                  <c:v>25 Oct 2026</c:v>
                </c:pt>
                <c:pt idx="4">
                  <c:v>01 Nov 2026</c:v>
                </c:pt>
                <c:pt idx="5">
                  <c:v>08 Nov 2026</c:v>
                </c:pt>
                <c:pt idx="6">
                  <c:v>15 Nov 2026</c:v>
                </c:pt>
                <c:pt idx="7">
                  <c:v>22 Nov 2026</c:v>
                </c:pt>
                <c:pt idx="8">
                  <c:v>29 Nov 2026</c:v>
                </c:pt>
                <c:pt idx="9">
                  <c:v>06 Dec 2026</c:v>
                </c:pt>
                <c:pt idx="10">
                  <c:v>13 Dec 2026</c:v>
                </c:pt>
                <c:pt idx="11">
                  <c:v>20 Dec 2026</c:v>
                </c:pt>
                <c:pt idx="12">
                  <c:v>27 Dec 2026</c:v>
                </c:pt>
                <c:pt idx="13">
                  <c:v>03 Jan 2027</c:v>
                </c:pt>
                <c:pt idx="14">
                  <c:v>10 Jan 2027</c:v>
                </c:pt>
                <c:pt idx="15">
                  <c:v>17 Jan 2027</c:v>
                </c:pt>
                <c:pt idx="16">
                  <c:v>24 Jan 2027</c:v>
                </c:pt>
                <c:pt idx="17">
                  <c:v>31 Jan 2027</c:v>
                </c:pt>
                <c:pt idx="18">
                  <c:v>07 Feb 2027</c:v>
                </c:pt>
                <c:pt idx="19">
                  <c:v>14 Feb 2027</c:v>
                </c:pt>
                <c:pt idx="20">
                  <c:v>21 Feb 2027</c:v>
                </c:pt>
                <c:pt idx="21">
                  <c:v>28 Feb 2027</c:v>
                </c:pt>
                <c:pt idx="22">
                  <c:v>07 Mar 2027</c:v>
                </c:pt>
                <c:pt idx="23">
                  <c:v>14 Mar 2027</c:v>
                </c:pt>
                <c:pt idx="24">
                  <c:v>21 Mar 2027</c:v>
                </c:pt>
                <c:pt idx="25">
                  <c:v>28 Mar 2027</c:v>
                </c:pt>
              </c:strCache>
            </c:strRef>
          </c:cat>
          <c:val>
            <c:numRef>
              <c:f>'Capacity plan'!$E$6:$E$31</c:f>
              <c:numCache>
                <c:formatCode>General</c:formatCode>
                <c:ptCount val="26"/>
                <c:pt idx="0">
                  <c:v>152</c:v>
                </c:pt>
                <c:pt idx="1">
                  <c:v>150.7554314484576</c:v>
                </c:pt>
                <c:pt idx="2">
                  <c:v>149.5210533632277</c:v>
                </c:pt>
                <c:pt idx="3">
                  <c:v>148.2967823052713</c:v>
                </c:pt>
                <c:pt idx="4">
                  <c:v>147.0825355187446</c:v>
                </c:pt>
                <c:pt idx="5">
                  <c:v>145.8782309254042</c:v>
                </c:pt>
                <c:pt idx="6">
                  <c:v>144.6837871190594</c:v>
                </c:pt>
                <c:pt idx="7">
                  <c:v>143.4991233600697</c:v>
                </c:pt>
                <c:pt idx="8">
                  <c:v>153.0341595698866</c:v>
                </c:pt>
                <c:pt idx="9">
                  <c:v>151.7811233704629</c:v>
                </c:pt>
                <c:pt idx="10">
                  <c:v>157.5619017135471</c:v>
                </c:pt>
                <c:pt idx="11">
                  <c:v>156.2717925833241</c:v>
                </c:pt>
                <c:pt idx="12">
                  <c:v>154.9922468034402</c:v>
                </c:pt>
                <c:pt idx="13">
                  <c:v>153.7231778817003</c:v>
                </c:pt>
                <c:pt idx="14">
                  <c:v>161.1345000341035</c:v>
                </c:pt>
                <c:pt idx="15">
                  <c:v>159.8151386438999</c:v>
                </c:pt>
                <c:pt idx="16">
                  <c:v>164.1923149124714</c:v>
                </c:pt>
                <c:pt idx="17">
                  <c:v>165.9079162838858</c:v>
                </c:pt>
                <c:pt idx="18">
                  <c:v>164.5494703953408</c:v>
                </c:pt>
                <c:pt idx="19">
                  <c:v>165.2088773218802</c:v>
                </c:pt>
                <c:pt idx="20">
                  <c:v>163.856155130101</c:v>
                </c:pt>
                <c:pt idx="21">
                  <c:v>162.5145089613407</c:v>
                </c:pt>
                <c:pt idx="22">
                  <c:v>161.1838481256654</c:v>
                </c:pt>
                <c:pt idx="23">
                  <c:v>159.8640826757063</c:v>
                </c:pt>
                <c:pt idx="24">
                  <c:v>158.555123400579</c:v>
                </c:pt>
                <c:pt idx="25">
                  <c:v>157.2568818198534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20</xdr:col>
      <xdr:colOff>533400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4.7109375" customWidth="1"/>
    <col min="2" max="2" width="110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2" t="s">
        <v>2</v>
      </c>
    </row>
    <row r="5" spans="1:2">
      <c r="A5" s="3" t="s">
        <v>3</v>
      </c>
      <c r="B5" s="3" t="s">
        <v>4</v>
      </c>
    </row>
    <row r="6" spans="1:2">
      <c r="A6" s="4" t="s">
        <v>5</v>
      </c>
      <c r="B6" s="5" t="s">
        <v>6</v>
      </c>
    </row>
    <row r="7" spans="1:2">
      <c r="A7" s="4" t="s">
        <v>7</v>
      </c>
      <c r="B7" s="5" t="s">
        <v>8</v>
      </c>
    </row>
    <row r="8" spans="1:2">
      <c r="A8" s="4" t="s">
        <v>9</v>
      </c>
      <c r="B8" s="5" t="s">
        <v>10</v>
      </c>
    </row>
    <row r="9" spans="1:2">
      <c r="A9" s="4" t="s">
        <v>11</v>
      </c>
      <c r="B9" s="5" t="s">
        <v>12</v>
      </c>
    </row>
    <row r="10" spans="1:2">
      <c r="A10" s="4" t="s">
        <v>13</v>
      </c>
      <c r="B10" s="5" t="s">
        <v>14</v>
      </c>
    </row>
  </sheetData>
  <hyperlinks>
    <hyperlink ref="A6" location="'Erlang C'!A1" display="Erlang C"/>
    <hyperlink ref="A7" location="'Interval report'!A1" display="Interval report"/>
    <hyperlink ref="A8" location="'Shrinkage'!A1" display="Shrinkage"/>
    <hyperlink ref="A9" location="'Capacity plan'!A1" display="Capacity plan"/>
    <hyperlink ref="A10" location="'Adherence'!A1" display="Adheren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4"/>
  <sheetViews>
    <sheetView workbookViewId="0">
      <pane ySplit="14" topLeftCell="A15" activePane="bottomLeft" state="frozen"/>
      <selection pane="bottomLeft"/>
    </sheetView>
  </sheetViews>
  <sheetFormatPr defaultRowHeight="15"/>
  <cols>
    <col min="1" max="1" width="30.7109375" customWidth="1"/>
    <col min="2" max="3" width="14.7109375" customWidth="1"/>
    <col min="4" max="5" width="12.7109375" customWidth="1"/>
    <col min="6" max="6" width="14.7109375" customWidth="1"/>
  </cols>
  <sheetData>
    <row r="1" spans="1:6">
      <c r="A1" s="1" t="s">
        <v>15</v>
      </c>
    </row>
    <row r="2" spans="1:6">
      <c r="A2" s="2" t="s">
        <v>16</v>
      </c>
    </row>
    <row r="4" spans="1:6">
      <c r="A4" s="6" t="s">
        <v>17</v>
      </c>
      <c r="B4" s="7">
        <v>100</v>
      </c>
    </row>
    <row r="5" spans="1:6">
      <c r="A5" s="6" t="s">
        <v>18</v>
      </c>
      <c r="B5" s="7">
        <v>180</v>
      </c>
    </row>
    <row r="6" spans="1:6">
      <c r="A6" s="6" t="s">
        <v>19</v>
      </c>
      <c r="B6" s="7">
        <v>1800</v>
      </c>
    </row>
    <row r="7" spans="1:6">
      <c r="A7" s="6" t="s">
        <v>20</v>
      </c>
      <c r="B7" s="8">
        <v>0.8</v>
      </c>
    </row>
    <row r="8" spans="1:6">
      <c r="A8" s="6" t="s">
        <v>21</v>
      </c>
      <c r="B8" s="7">
        <v>20</v>
      </c>
    </row>
    <row r="9" spans="1:6">
      <c r="A9" s="6" t="s">
        <v>22</v>
      </c>
      <c r="B9" s="8">
        <v>0.88</v>
      </c>
    </row>
    <row r="11" spans="1:6">
      <c r="A11" s="6" t="s">
        <v>23</v>
      </c>
      <c r="B11" s="9">
        <f>B4*B5/B6</f>
        <v>10.0</v>
      </c>
    </row>
    <row r="12" spans="1:6">
      <c r="A12" s="6" t="s">
        <v>24</v>
      </c>
      <c r="B12" s="10">
        <f>INDEX(A15:A44,MATCH(TRUE,F15:F44,0))</f>
        <v>14</v>
      </c>
    </row>
    <row r="13" spans="1:6">
      <c r="A13" s="6" t="s">
        <v>25</v>
      </c>
      <c r="B13" s="11">
        <f>INDEX(C15:C44,MATCH(TRUE,F15:F44,0))</f>
        <v>0.8883500191794669</v>
      </c>
    </row>
    <row r="14" spans="1:6">
      <c r="A14" s="3" t="s">
        <v>26</v>
      </c>
      <c r="B14" s="3" t="s">
        <v>27</v>
      </c>
      <c r="C14" s="3" t="s">
        <v>28</v>
      </c>
      <c r="D14" s="3" t="s">
        <v>29</v>
      </c>
      <c r="E14" s="3" t="s">
        <v>30</v>
      </c>
      <c r="F14" s="3" t="s">
        <v>31</v>
      </c>
    </row>
    <row r="15" spans="1:6">
      <c r="A15" s="12">
        <f>MAX(1,INT(B11)+1)</f>
        <v>11</v>
      </c>
      <c r="B15" s="13">
        <f>IF(A15&lt;=$B$11,1,_xlfn.POISSON.DIST(A15,$B$11,FALSE)/(_xlfn.POISSON.DIST(A15,$B$11,FALSE)+(1-$B$11/A15)*_xlfn.POISSON.DIST(A15-1,$B$11,TRUE)))</f>
        <v>0.6821182046893323</v>
      </c>
      <c r="C15" s="13">
        <f>IF(A15&lt;=$B$11,0,1-B15*EXP(-(A15-$B$11)*$B$8/$B$5))</f>
        <v>0.38961381172915344</v>
      </c>
      <c r="D15" s="14">
        <f>IF(A15&lt;=$B$11,"",B15*$B$5/(A15-$B$11))</f>
        <v>122.78127684407981</v>
      </c>
      <c r="E15" s="13">
        <f>MIN(1,$B$11/A15)</f>
        <v>0.9090909090909091</v>
      </c>
      <c r="F15" s="5" t="b">
        <f>AND(C15&gt;=$B$7,E15&lt;=$B$9)</f>
        <v>0</v>
      </c>
    </row>
    <row r="16" spans="1:6">
      <c r="A16" s="12">
        <f>A15+1</f>
        <v>12</v>
      </c>
      <c r="B16" s="13">
        <f>IF(A16&lt;=$B$11,1,_xlfn.POISSON.DIST(A16,$B$11,FALSE)/(_xlfn.POISSON.DIST(A16,$B$11,FALSE)+(1-$B$11/A16)*_xlfn.POISSON.DIST(A16-1,$B$11,TRUE)))</f>
        <v>0.4493882242982709</v>
      </c>
      <c r="C16" s="13">
        <f>IF(A16&lt;=$B$11,0,1-B16*EXP(-(A16-$B$11)*$B$8/$B$5))</f>
        <v>0.6401580403740066</v>
      </c>
      <c r="D16" s="14">
        <f>IF(A16&lt;=$B$11,"",B16*$B$5/(A16-$B$11))</f>
        <v>40.444940186844384</v>
      </c>
      <c r="E16" s="13">
        <f>MIN(1,$B$11/A16)</f>
        <v>0.8333333333333334</v>
      </c>
      <c r="F16" s="5" t="b">
        <f>AND(C16&gt;=$B$7,E16&lt;=$B$9)</f>
        <v>0</v>
      </c>
    </row>
    <row r="17" spans="1:6">
      <c r="A17" s="12">
        <f>A16+1</f>
        <v>13</v>
      </c>
      <c r="B17" s="13">
        <f>IF(A17&lt;=$B$11,1,_xlfn.POISSON.DIST(A17,$B$11,FALSE)/(_xlfn.POISSON.DIST(A17,$B$11,FALSE)+(1-$B$11/A17)*_xlfn.POISSON.DIST(A17-1,$B$11,TRUE)))</f>
        <v>0.285270453036493</v>
      </c>
      <c r="C17" s="13">
        <f>IF(A17&lt;=$B$11,0,1-B17*EXP(-(A17-$B$11)*$B$8/$B$5))</f>
        <v>0.7955947884177831</v>
      </c>
      <c r="D17" s="14">
        <f>IF(A17&lt;=$B$11,"",B17*$B$5/(A17-$B$11))</f>
        <v>17.11622718218958</v>
      </c>
      <c r="E17" s="13">
        <f>MIN(1,$B$11/A17)</f>
        <v>0.7692307692307693</v>
      </c>
      <c r="F17" s="5" t="b">
        <f>AND(C17&gt;=$B$7,E17&lt;=$B$9)</f>
        <v>0</v>
      </c>
    </row>
    <row r="18" spans="1:6">
      <c r="A18" s="12">
        <f>A17+1</f>
        <v>14</v>
      </c>
      <c r="B18" s="13">
        <f>IF(A18&lt;=$B$11,1,_xlfn.POISSON.DIST(A18,$B$11,FALSE)/(_xlfn.POISSON.DIST(A18,$B$11,FALSE)+(1-$B$11/A18)*_xlfn.POISSON.DIST(A18-1,$B$11,TRUE)))</f>
        <v>0.17413193359504983</v>
      </c>
      <c r="C18" s="13">
        <f>IF(A18&lt;=$B$11,0,1-B18*EXP(-(A18-$B$11)*$B$8/$B$5))</f>
        <v>0.8883500191794669</v>
      </c>
      <c r="D18" s="14">
        <f>IF(A18&lt;=$B$11,"",B18*$B$5/(A18-$B$11))</f>
        <v>7.835937011777243</v>
      </c>
      <c r="E18" s="13">
        <f>MIN(1,$B$11/A18)</f>
        <v>0.7142857142857143</v>
      </c>
      <c r="F18" s="5" t="b">
        <f>AND(C18&gt;=$B$7,E18&lt;=$B$9)</f>
        <v>1</v>
      </c>
    </row>
    <row r="19" spans="1:6">
      <c r="A19" s="12">
        <f>A18+1</f>
        <v>15</v>
      </c>
      <c r="B19" s="13">
        <f>IF(A19&lt;=$B$11,1,_xlfn.POISSON.DIST(A19,$B$11,FALSE)/(_xlfn.POISSON.DIST(A19,$B$11,FALSE)+(1-$B$11/A19)*_xlfn.POISSON.DIST(A19-1,$B$11,TRUE)))</f>
        <v>0.10204236700798802</v>
      </c>
      <c r="C19" s="13">
        <f>IF(A19&lt;=$B$11,0,1-B19*EXP(-(A19-$B$11)*$B$8/$B$5))</f>
        <v>0.9414528428690223</v>
      </c>
      <c r="D19" s="14">
        <f>IF(A19&lt;=$B$11,"",B19*$B$5/(A19-$B$11))</f>
        <v>3.6735252122875686</v>
      </c>
      <c r="E19" s="13">
        <f>MIN(1,$B$11/A19)</f>
        <v>0.6666666666666666</v>
      </c>
      <c r="F19" s="5" t="b">
        <f>AND(C19&gt;=$B$7,E19&lt;=$B$9)</f>
        <v>1</v>
      </c>
    </row>
    <row r="20" spans="1:6">
      <c r="A20" s="12">
        <f>A19+1</f>
        <v>16</v>
      </c>
      <c r="B20" s="13">
        <f>IF(A20&lt;=$B$11,1,_xlfn.POISSON.DIST(A20,$B$11,FALSE)/(_xlfn.POISSON.DIST(A20,$B$11,FALSE)+(1-$B$11/A20)*_xlfn.POISSON.DIST(A20-1,$B$11,TRUE)))</f>
        <v>0.057340330903371255</v>
      </c>
      <c r="C20" s="13">
        <f>IF(A20&lt;=$B$11,0,1-B20*EXP(-(A20-$B$11)*$B$8/$B$5))</f>
        <v>0.9705604925032156</v>
      </c>
      <c r="D20" s="14">
        <f>IF(A20&lt;=$B$11,"",B20*$B$5/(A20-$B$11))</f>
        <v>1.7202099271011377</v>
      </c>
      <c r="E20" s="13">
        <f>MIN(1,$B$11/A20)</f>
        <v>0.625</v>
      </c>
      <c r="F20" s="5" t="b">
        <f>AND(C20&gt;=$B$7,E20&lt;=$B$9)</f>
        <v>1</v>
      </c>
    </row>
    <row r="21" spans="1:6">
      <c r="A21" s="12">
        <f>A20+1</f>
        <v>17</v>
      </c>
      <c r="B21" s="13">
        <f>IF(A21&lt;=$B$11,1,_xlfn.POISSON.DIST(A21,$B$11,FALSE)/(_xlfn.POISSON.DIST(A21,$B$11,FALSE)+(1-$B$11/A21)*_xlfn.POISSON.DIST(A21-1,$B$11,TRUE)))</f>
        <v>0.03087610998067216</v>
      </c>
      <c r="C21" s="13">
        <f>IF(A21&lt;=$B$11,0,1-B21*EXP(-(A21-$B$11)*$B$8/$B$5))</f>
        <v>0.9858147177291058</v>
      </c>
      <c r="D21" s="14">
        <f>IF(A21&lt;=$B$11,"",B21*$B$5/(A21-$B$11))</f>
        <v>0.7939571137887127</v>
      </c>
      <c r="E21" s="13">
        <f>MIN(1,$B$11/A21)</f>
        <v>0.5882352941176471</v>
      </c>
      <c r="F21" s="5" t="b">
        <f>AND(C21&gt;=$B$7,E21&lt;=$B$9)</f>
        <v>1</v>
      </c>
    </row>
    <row r="22" spans="1:6">
      <c r="A22" s="12">
        <f>A21+1</f>
        <v>18</v>
      </c>
      <c r="B22" s="13">
        <f>IF(A22&lt;=$B$11,1,_xlfn.POISSON.DIST(A22,$B$11,FALSE)/(_xlfn.POISSON.DIST(A22,$B$11,FALSE)+(1-$B$11/A22)*_xlfn.POISSON.DIST(A22-1,$B$11,TRUE)))</f>
        <v>0.015928277434601363</v>
      </c>
      <c r="C22" s="13">
        <f>IF(A22&lt;=$B$11,0,1-B22*EXP(-(A22-$B$11)*$B$8/$B$5))</f>
        <v>0.993451689380027</v>
      </c>
      <c r="D22" s="14">
        <f>IF(A22&lt;=$B$11,"",B22*$B$5/(A22-$B$11))</f>
        <v>0.35838624227853066</v>
      </c>
      <c r="E22" s="13">
        <f>MIN(1,$B$11/A22)</f>
        <v>0.5555555555555556</v>
      </c>
      <c r="F22" s="5" t="b">
        <f>AND(C22&gt;=$B$7,E22&lt;=$B$9)</f>
        <v>1</v>
      </c>
    </row>
    <row r="23" spans="1:6">
      <c r="A23" s="12">
        <f>A22+1</f>
        <v>19</v>
      </c>
      <c r="B23" s="13">
        <f>IF(A23&lt;=$B$11,1,_xlfn.POISSON.DIST(A23,$B$11,FALSE)/(_xlfn.POISSON.DIST(A23,$B$11,FALSE)+(1-$B$11/A23)*_xlfn.POISSON.DIST(A23-1,$B$11,TRUE)))</f>
        <v>0.007873557511435208</v>
      </c>
      <c r="C23" s="13">
        <f>IF(A23&lt;=$B$11,0,1-B23*EXP(-(A23-$B$11)*$B$8/$B$5))</f>
        <v>0.997103480062662</v>
      </c>
      <c r="D23" s="14">
        <f>IF(A23&lt;=$B$11,"",B23*$B$5/(A23-$B$11))</f>
        <v>0.15747115022870417</v>
      </c>
      <c r="E23" s="13">
        <f>MIN(1,$B$11/A23)</f>
        <v>0.5263157894736842</v>
      </c>
      <c r="F23" s="5" t="b">
        <f>AND(C23&gt;=$B$7,E23&lt;=$B$9)</f>
        <v>1</v>
      </c>
    </row>
    <row r="24" spans="1:6">
      <c r="A24" s="12">
        <f>A23+1</f>
        <v>20</v>
      </c>
      <c r="B24" s="13">
        <f>IF(A24&lt;=$B$11,1,_xlfn.POISSON.DIST(A24,$B$11,FALSE)/(_xlfn.POISSON.DIST(A24,$B$11,FALSE)+(1-$B$11/A24)*_xlfn.POISSON.DIST(A24-1,$B$11,TRUE)))</f>
        <v>0.0037311260441267226</v>
      </c>
      <c r="C24" s="13">
        <f>IF(A24&lt;=$B$11,0,1-B24*EXP(-(A24-$B$11)*$B$8/$B$5))</f>
        <v>0.998771739469646</v>
      </c>
      <c r="D24" s="14">
        <f>IF(A24&lt;=$B$11,"",B24*$B$5/(A24-$B$11))</f>
        <v>0.06716026879428101</v>
      </c>
      <c r="E24" s="13">
        <f>MIN(1,$B$11/A24)</f>
        <v>0.5</v>
      </c>
      <c r="F24" s="5" t="b">
        <f>AND(C24&gt;=$B$7,E24&lt;=$B$9)</f>
        <v>1</v>
      </c>
    </row>
    <row r="25" spans="1:6">
      <c r="A25" s="12">
        <f>A24+1</f>
        <v>21</v>
      </c>
      <c r="B25" s="13">
        <f>IF(A25&lt;=$B$11,1,_xlfn.POISSON.DIST(A25,$B$11,FALSE)/(_xlfn.POISSON.DIST(A25,$B$11,FALSE)+(1-$B$11/A25)*_xlfn.POISSON.DIST(A25-1,$B$11,TRUE)))</f>
        <v>0.001696254062680816</v>
      </c>
      <c r="C25" s="13">
        <f>IF(A25&lt;=$B$11,0,1-B25*EXP(-(A25-$B$11)*$B$8/$B$5))</f>
        <v>0.9995003262507155</v>
      </c>
      <c r="D25" s="14">
        <f>IF(A25&lt;=$B$11,"",B25*$B$5/(A25-$B$11))</f>
        <v>0.027756884662049716</v>
      </c>
      <c r="E25" s="13">
        <f>MIN(1,$B$11/A25)</f>
        <v>0.47619047619047616</v>
      </c>
      <c r="F25" s="5" t="b">
        <f>AND(C25&gt;=$B$7,E25&lt;=$B$9)</f>
        <v>1</v>
      </c>
    </row>
    <row r="26" spans="1:6">
      <c r="A26" s="12">
        <f>A25+1</f>
        <v>22</v>
      </c>
      <c r="B26" s="13">
        <f>IF(A26&lt;=$B$11,1,_xlfn.POISSON.DIST(A26,$B$11,FALSE)/(_xlfn.POISSON.DIST(A26,$B$11,FALSE)+(1-$B$11/A26)*_xlfn.POISSON.DIST(A26-1,$B$11,TRUE)))</f>
        <v>0.0007404782035178577</v>
      </c>
      <c r="C26" s="13">
        <f>IF(A26&lt;=$B$11,0,1-B26*EXP(-(A26-$B$11)*$B$8/$B$5))</f>
        <v>0.9998048120647156</v>
      </c>
      <c r="D26" s="14">
        <f>IF(A26&lt;=$B$11,"",B26*$B$5/(A26-$B$11))</f>
        <v>0.011107173052767864</v>
      </c>
      <c r="E26" s="13">
        <f>MIN(1,$B$11/A26)</f>
        <v>0.45454545454545453</v>
      </c>
      <c r="F26" s="5" t="b">
        <f>AND(C26&gt;=$B$7,E26&lt;=$B$9)</f>
        <v>1</v>
      </c>
    </row>
    <row r="27" spans="1:6">
      <c r="A27" s="12">
        <f>A26+1</f>
        <v>23</v>
      </c>
      <c r="B27" s="13">
        <f>IF(A27&lt;=$B$11,1,_xlfn.POISSON.DIST(A27,$B$11,FALSE)/(_xlfn.POISSON.DIST(A27,$B$11,FALSE)+(1-$B$11/A27)*_xlfn.POISSON.DIST(A27-1,$B$11,TRUE)))</f>
        <v>0.0003106981995615014</v>
      </c>
      <c r="C27" s="13">
        <f>IF(A27&lt;=$B$11,0,1-B27*EXP(-(A27-$B$11)*$B$8/$B$5))</f>
        <v>0.9999267134149985</v>
      </c>
      <c r="D27" s="14">
        <f>IF(A27&lt;=$B$11,"",B27*$B$5/(A27-$B$11))</f>
        <v>0.0043019750708515585</v>
      </c>
      <c r="E27" s="13">
        <f>MIN(1,$B$11/A27)</f>
        <v>0.43478260869565216</v>
      </c>
      <c r="F27" s="5" t="b">
        <f>AND(C27&gt;=$B$7,E27&lt;=$B$9)</f>
        <v>1</v>
      </c>
    </row>
    <row r="28" spans="1:6">
      <c r="A28" s="12">
        <f>A27+1</f>
        <v>24</v>
      </c>
      <c r="B28" s="13">
        <f>IF(A28&lt;=$B$11,1,_xlfn.POISSON.DIST(A28,$B$11,FALSE)/(_xlfn.POISSON.DIST(A28,$B$11,FALSE)+(1-$B$11/A28)*_xlfn.POISSON.DIST(A28-1,$B$11,TRUE)))</f>
        <v>0.00012543837167005442</v>
      </c>
      <c r="C28" s="13">
        <f>IF(A28&lt;=$B$11,0,1-B28*EXP(-(A28-$B$11)*$B$8/$B$5))</f>
        <v>0.9999735234610024</v>
      </c>
      <c r="D28" s="14">
        <f>IF(A28&lt;=$B$11,"",B28*$B$5/(A28-$B$11))</f>
        <v>0.001612779064329271</v>
      </c>
      <c r="E28" s="13">
        <f>MIN(1,$B$11/A28)</f>
        <v>0.4166666666666667</v>
      </c>
      <c r="F28" s="5" t="b">
        <f>AND(C28&gt;=$B$7,E28&lt;=$B$9)</f>
        <v>1</v>
      </c>
    </row>
    <row r="29" spans="1:6">
      <c r="A29" s="12">
        <f>A28+1</f>
        <v>25</v>
      </c>
      <c r="B29" s="13">
        <f>IF(A29&lt;=$B$11,1,_xlfn.POISSON.DIST(A29,$B$11,FALSE)/(_xlfn.POISSON.DIST(A29,$B$11,FALSE)+(1-$B$11/A29)*_xlfn.POISSON.DIST(A29-1,$B$11,TRUE)))</f>
        <v>4.8781758957921465e-05</v>
      </c>
      <c r="C29" s="13">
        <f>IF(A29&lt;=$B$11,0,1-B29*EXP(-(A29-$B$11)*$B$8/$B$5))</f>
        <v>0.9999907863158694</v>
      </c>
      <c r="D29" s="14">
        <f>IF(A29&lt;=$B$11,"",B29*$B$5/(A29-$B$11))</f>
        <v>0.0005853811074950576</v>
      </c>
      <c r="E29" s="13">
        <f>MIN(1,$B$11/A29)</f>
        <v>0.4</v>
      </c>
      <c r="F29" s="5" t="b">
        <f>AND(C29&gt;=$B$7,E29&lt;=$B$9)</f>
        <v>1</v>
      </c>
    </row>
    <row r="30" spans="1:6">
      <c r="A30" s="12">
        <f>A29+1</f>
        <v>26</v>
      </c>
      <c r="B30" s="13">
        <f>IF(A30&lt;=$B$11,1,_xlfn.POISSON.DIST(A30,$B$11,FALSE)/(_xlfn.POISSON.DIST(A30,$B$11,FALSE)+(1-$B$11/A30)*_xlfn.POISSON.DIST(A30-1,$B$11,TRUE)))</f>
        <v>1.8293181918560324e-05</v>
      </c>
      <c r="C30" s="13">
        <f>IF(A30&lt;=$B$11,0,1-B30*EXP(-(A30-$B$11)*$B$8/$B$5))</f>
        <v>0.9999969082086746</v>
      </c>
      <c r="D30" s="14">
        <f>IF(A30&lt;=$B$11,"",B30*$B$5/(A30-$B$11))</f>
        <v>0.00020579829658380364</v>
      </c>
      <c r="E30" s="13">
        <f>MIN(1,$B$11/A30)</f>
        <v>0.38461538461538464</v>
      </c>
      <c r="F30" s="5" t="b">
        <f>AND(C30&gt;=$B$7,E30&lt;=$B$9)</f>
        <v>1</v>
      </c>
    </row>
    <row r="31" spans="1:6">
      <c r="A31" s="12">
        <f>A30+1</f>
        <v>27</v>
      </c>
      <c r="B31" s="13">
        <f>IF(A31&lt;=$B$11,1,_xlfn.POISSON.DIST(A31,$B$11,FALSE)/(_xlfn.POISSON.DIST(A31,$B$11,FALSE)+(1-$B$11/A31)*_xlfn.POISSON.DIST(A31-1,$B$11,TRUE)))</f>
        <v>6.621969046014696e-06</v>
      </c>
      <c r="C31" s="13">
        <f>IF(A31&lt;=$B$11,0,1-B31*EXP(-(A31-$B$11)*$B$8/$B$5))</f>
        <v>0.9999989984949929</v>
      </c>
      <c r="D31" s="14">
        <f>IF(A31&lt;=$B$11,"",B31*$B$5/(A31-$B$11))</f>
        <v>7.011496636956738e-05</v>
      </c>
      <c r="E31" s="13">
        <f>MIN(1,$B$11/A31)</f>
        <v>0.37037037037037035</v>
      </c>
      <c r="F31" s="5" t="b">
        <f>AND(C31&gt;=$B$7,E31&lt;=$B$9)</f>
        <v>1</v>
      </c>
    </row>
    <row r="32" spans="1:6">
      <c r="A32" s="12">
        <f>A31+1</f>
        <v>28</v>
      </c>
      <c r="B32" s="13">
        <f>IF(A32&lt;=$B$11,1,_xlfn.POISSON.DIST(A32,$B$11,FALSE)/(_xlfn.POISSON.DIST(A32,$B$11,FALSE)+(1-$B$11/A32)*_xlfn.POISSON.DIST(A32-1,$B$11,TRUE)))</f>
        <v>2.316326936643932e-06</v>
      </c>
      <c r="C32" s="13">
        <f>IF(A32&lt;=$B$11,0,1-B32*EXP(-(A32-$B$11)*$B$8/$B$5))</f>
        <v>0.999999686519238</v>
      </c>
      <c r="D32" s="14">
        <f>IF(A32&lt;=$B$11,"",B32*$B$5/(A32-$B$11))</f>
        <v>2.316326936643932e-05</v>
      </c>
      <c r="E32" s="13">
        <f>MIN(1,$B$11/A32)</f>
        <v>0.35714285714285715</v>
      </c>
      <c r="F32" s="5" t="b">
        <f>AND(C32&gt;=$B$7,E32&lt;=$B$9)</f>
        <v>1</v>
      </c>
    </row>
    <row r="33" spans="1:6">
      <c r="A33" s="12">
        <f>A32+1</f>
        <v>29</v>
      </c>
      <c r="B33" s="13">
        <f>IF(A33&lt;=$B$11,1,_xlfn.POISSON.DIST(A33,$B$11,FALSE)/(_xlfn.POISSON.DIST(A33,$B$11,FALSE)+(1-$B$11/A33)*_xlfn.POISSON.DIST(A33-1,$B$11,TRUE)))</f>
        <v>7.837196743410107e-07</v>
      </c>
      <c r="C33" s="13">
        <f>IF(A33&lt;=$B$11,0,1-B33*EXP(-(A33-$B$11)*$B$8/$B$5))</f>
        <v>0.9999999050889358</v>
      </c>
      <c r="D33" s="14">
        <f>IF(A33&lt;=$B$11,"",B33*$B$5/(A33-$B$11))</f>
        <v>7.424712704283259e-06</v>
      </c>
      <c r="E33" s="13">
        <f>MIN(1,$B$11/A33)</f>
        <v>0.3448275862068966</v>
      </c>
      <c r="F33" s="5" t="b">
        <f>AND(C33&gt;=$B$7,E33&lt;=$B$9)</f>
        <v>1</v>
      </c>
    </row>
    <row r="34" spans="1:6">
      <c r="A34" s="12">
        <f>A33+1</f>
        <v>30</v>
      </c>
      <c r="B34" s="13">
        <f>IF(A34&lt;=$B$11,1,_xlfn.POISSON.DIST(A34,$B$11,FALSE)/(_xlfn.POISSON.DIST(A34,$B$11,FALSE)+(1-$B$11/A34)*_xlfn.POISSON.DIST(A34-1,$B$11,TRUE)))</f>
        <v>2.567357588566908e-07</v>
      </c>
      <c r="C34" s="13">
        <f>IF(A34&lt;=$B$11,0,1-B34*EXP(-(A34-$B$11)*$B$8/$B$5))</f>
        <v>0.9999999721780534</v>
      </c>
      <c r="D34" s="14">
        <f>IF(A34&lt;=$B$11,"",B34*$B$5/(A34-$B$11))</f>
        <v>2.310621829710217e-06</v>
      </c>
      <c r="E34" s="13">
        <f>MIN(1,$B$11/A34)</f>
        <v>0.3333333333333333</v>
      </c>
      <c r="F34" s="5" t="b">
        <f>AND(C34&gt;=$B$7,E34&lt;=$B$9)</f>
        <v>1</v>
      </c>
    </row>
    <row r="35" spans="1:6">
      <c r="A35" s="12">
        <f>A34+1</f>
        <v>31</v>
      </c>
      <c r="B35" s="13">
        <f>IF(A35&lt;=$B$11,1,_xlfn.POISSON.DIST(A35,$B$11,FALSE)/(_xlfn.POISSON.DIST(A35,$B$11,FALSE)+(1-$B$11/A35)*_xlfn.POISSON.DIST(A35-1,$B$11,TRUE)))</f>
        <v>8.150341584220092e-08</v>
      </c>
      <c r="C35" s="13">
        <f>IF(A35&lt;=$B$11,0,1-B35*EXP(-(A35-$B$11)*$B$8/$B$5))</f>
        <v>0.9999999920964534</v>
      </c>
      <c r="D35" s="14">
        <f>IF(A35&lt;=$B$11,"",B35*$B$5/(A35-$B$11))</f>
        <v>6.98600707218865e-07</v>
      </c>
      <c r="E35" s="13">
        <f>MIN(1,$B$11/A35)</f>
        <v>0.3225806451612903</v>
      </c>
      <c r="F35" s="5" t="b">
        <f>AND(C35&gt;=$B$7,E35&lt;=$B$9)</f>
        <v>1</v>
      </c>
    </row>
    <row r="36" spans="1:6">
      <c r="A36" s="12">
        <f>A35+1</f>
        <v>32</v>
      </c>
      <c r="B36" s="13">
        <f>IF(A36&lt;=$B$11,1,_xlfn.POISSON.DIST(A36,$B$11,FALSE)/(_xlfn.POISSON.DIST(A36,$B$11,FALSE)+(1-$B$11/A36)*_xlfn.POISSON.DIST(A36-1,$B$11,TRUE)))</f>
        <v>2.509635974679851e-08</v>
      </c>
      <c r="C36" s="13">
        <f>IF(A36&lt;=$B$11,0,1-B36*EXP(-(A36-$B$11)*$B$8/$B$5))</f>
        <v>0.9999999978222802</v>
      </c>
      <c r="D36" s="14">
        <f>IF(A36&lt;=$B$11,"",B36*$B$5/(A36-$B$11))</f>
        <v>2.05333852473806e-07</v>
      </c>
      <c r="E36" s="13">
        <f>MIN(1,$B$11/A36)</f>
        <v>0.3125</v>
      </c>
      <c r="F36" s="5" t="b">
        <f>AND(C36&gt;=$B$7,E36&lt;=$B$9)</f>
        <v>1</v>
      </c>
    </row>
    <row r="37" spans="1:6">
      <c r="A37" s="12">
        <f>A36+1</f>
        <v>33</v>
      </c>
      <c r="B37" s="13">
        <f>IF(A37&lt;=$B$11,1,_xlfn.POISSON.DIST(A37,$B$11,FALSE)/(_xlfn.POISSON.DIST(A37,$B$11,FALSE)+(1-$B$11/A37)*_xlfn.POISSON.DIST(A37-1,$B$11,TRUE)))</f>
        <v>7.501629274698788e-09</v>
      </c>
      <c r="C37" s="13">
        <f>IF(A37&lt;=$B$11,0,1-B37*EXP(-(A37-$B$11)*$B$8/$B$5))</f>
        <v>0.9999999994175054</v>
      </c>
      <c r="D37" s="14">
        <f>IF(A37&lt;=$B$11,"",B37*$B$5/(A37-$B$11))</f>
        <v>5.870840301938182e-08</v>
      </c>
      <c r="E37" s="13">
        <f>MIN(1,$B$11/A37)</f>
        <v>0.30303030303030304</v>
      </c>
      <c r="F37" s="5" t="b">
        <f>AND(C37&gt;=$B$7,E37&lt;=$B$9)</f>
        <v>1</v>
      </c>
    </row>
    <row r="38" spans="1:6">
      <c r="A38" s="12">
        <f>A37+1</f>
        <v>34</v>
      </c>
      <c r="B38" s="13">
        <f>IF(A38&lt;=$B$11,1,_xlfn.POISSON.DIST(A38,$B$11,FALSE)/(_xlfn.POISSON.DIST(A38,$B$11,FALSE)+(1-$B$11/A38)*_xlfn.POISSON.DIST(A38-1,$B$11,TRUE)))</f>
        <v>2.1785034511921014e-09</v>
      </c>
      <c r="C38" s="13">
        <f>IF(A38&lt;=$B$11,0,1-B38*EXP(-(A38-$B$11)*$B$8/$B$5))</f>
        <v>0.9999999998486301</v>
      </c>
      <c r="D38" s="14">
        <f>IF(A38&lt;=$B$11,"",B38*$B$5/(A38-$B$11))</f>
        <v>1.633877588394076e-08</v>
      </c>
      <c r="E38" s="13">
        <f>MIN(1,$B$11/A38)</f>
        <v>0.29411764705882354</v>
      </c>
      <c r="F38" s="5" t="b">
        <f>AND(C38&gt;=$B$7,E38&lt;=$B$9)</f>
        <v>1</v>
      </c>
    </row>
    <row r="39" spans="1:6">
      <c r="A39" s="12">
        <f>A38+1</f>
        <v>35</v>
      </c>
      <c r="B39" s="13">
        <f>IF(A39&lt;=$B$11,1,_xlfn.POISSON.DIST(A39,$B$11,FALSE)/(_xlfn.POISSON.DIST(A39,$B$11,FALSE)+(1-$B$11/A39)*_xlfn.POISSON.DIST(A39-1,$B$11,TRUE)))</f>
        <v>6.151068568229464e-10</v>
      </c>
      <c r="C39" s="13">
        <f>IF(A39&lt;=$B$11,0,1-B39*EXP(-(A39-$B$11)*$B$8/$B$5))</f>
        <v>0.9999999999617548</v>
      </c>
      <c r="D39" s="14">
        <f>IF(A39&lt;=$B$11,"",B39*$B$5/(A39-$B$11))</f>
        <v>4.428769369125214e-09</v>
      </c>
      <c r="E39" s="13">
        <f>MIN(1,$B$11/A39)</f>
        <v>0.2857142857142857</v>
      </c>
      <c r="F39" s="5" t="b">
        <f>AND(C39&gt;=$B$7,E39&lt;=$B$9)</f>
        <v>1</v>
      </c>
    </row>
    <row r="40" spans="1:6">
      <c r="A40" s="12">
        <f>A39+1</f>
        <v>36</v>
      </c>
      <c r="B40" s="13">
        <f>IF(A40&lt;=$B$11,1,_xlfn.POISSON.DIST(A40,$B$11,FALSE)/(_xlfn.POISSON.DIST(A40,$B$11,FALSE)+(1-$B$11/A40)*_xlfn.POISSON.DIST(A40-1,$B$11,TRUE)))</f>
        <v>1.689854002272264e-10</v>
      </c>
      <c r="C40" s="13">
        <f>IF(A40&lt;=$B$11,0,1-B40*EXP(-(A40-$B$11)*$B$8/$B$5))</f>
        <v>0.999999999990598</v>
      </c>
      <c r="D40" s="14">
        <f>IF(A40&lt;=$B$11,"",B40*$B$5/(A40-$B$11))</f>
        <v>1.169898924650029e-09</v>
      </c>
      <c r="E40" s="13">
        <f>MIN(1,$B$11/A40)</f>
        <v>0.2777777777777778</v>
      </c>
      <c r="F40" s="5" t="b">
        <f>AND(C40&gt;=$B$7,E40&lt;=$B$9)</f>
        <v>1</v>
      </c>
    </row>
    <row r="41" spans="1:6">
      <c r="A41" s="12">
        <f>A40+1</f>
        <v>37</v>
      </c>
      <c r="B41" s="13">
        <f>IF(A41&lt;=$B$11,1,_xlfn.POISSON.DIST(A41,$B$11,FALSE)/(_xlfn.POISSON.DIST(A41,$B$11,FALSE)+(1-$B$11/A41)*_xlfn.POISSON.DIST(A41-1,$B$11,TRUE)))</f>
        <v>4.5201856027937503e-11</v>
      </c>
      <c r="C41" s="13">
        <f>IF(A41&lt;=$B$11,0,1-B41*EXP(-(A41-$B$11)*$B$8/$B$5))</f>
        <v>0.9999999999977496</v>
      </c>
      <c r="D41" s="14">
        <f>IF(A41&lt;=$B$11,"",B41*$B$5/(A41-$B$11))</f>
        <v>3.0134570685291667e-10</v>
      </c>
      <c r="E41" s="13">
        <f>MIN(1,$B$11/A41)</f>
        <v>0.2702702702702703</v>
      </c>
      <c r="F41" s="5" t="b">
        <f>AND(C41&gt;=$B$7,E41&lt;=$B$9)</f>
        <v>1</v>
      </c>
    </row>
    <row r="42" spans="1:6">
      <c r="A42" s="12">
        <f>A41+1</f>
        <v>38</v>
      </c>
      <c r="B42" s="13">
        <f>IF(A42&lt;=$B$11,1,_xlfn.POISSON.DIST(A42,$B$11,FALSE)/(_xlfn.POISSON.DIST(A42,$B$11,FALSE)+(1-$B$11/A42)*_xlfn.POISSON.DIST(A42-1,$B$11,TRUE)))</f>
        <v>1.1780406493772638e-11</v>
      </c>
      <c r="C42" s="13">
        <f>IF(A42&lt;=$B$11,0,1-B42*EXP(-(A42-$B$11)*$B$8/$B$5))</f>
        <v>0.9999999999994752</v>
      </c>
      <c r="D42" s="14">
        <f>IF(A42&lt;=$B$11,"",B42*$B$5/(A42-$B$11))</f>
        <v>7.57311846028241e-11</v>
      </c>
      <c r="E42" s="13">
        <f>MIN(1,$B$11/A42)</f>
        <v>0.2631578947368421</v>
      </c>
      <c r="F42" s="5" t="b">
        <f>AND(C42&gt;=$B$7,E42&lt;=$B$9)</f>
        <v>1</v>
      </c>
    </row>
    <row r="43" spans="1:6">
      <c r="A43" s="12">
        <f>A42+1</f>
        <v>39</v>
      </c>
      <c r="B43" s="13">
        <f>IF(A43&lt;=$B$11,1,_xlfn.POISSON.DIST(A43,$B$11,FALSE)/(_xlfn.POISSON.DIST(A43,$B$11,FALSE)+(1-$B$11/A43)*_xlfn.POISSON.DIST(A43-1,$B$11,TRUE)))</f>
        <v>2.9932067316303915e-12</v>
      </c>
      <c r="C43" s="13">
        <f>IF(A43&lt;=$B$11,0,1-B43*EXP(-(A43-$B$11)*$B$8/$B$5))</f>
        <v>0.9999999999998807</v>
      </c>
      <c r="D43" s="14">
        <f>IF(A43&lt;=$B$11,"",B43*$B$5/(A43-$B$11))</f>
        <v>1.8578524541154155e-11</v>
      </c>
      <c r="E43" s="13">
        <f>MIN(1,$B$11/A43)</f>
        <v>0.2564102564102564</v>
      </c>
      <c r="F43" s="5" t="b">
        <f>AND(C43&gt;=$B$7,E43&lt;=$B$9)</f>
        <v>1</v>
      </c>
    </row>
    <row r="44" spans="1:6">
      <c r="A44" s="12">
        <f>A43+1</f>
        <v>40</v>
      </c>
      <c r="B44" s="13">
        <f>IF(A44&lt;=$B$11,1,_xlfn.POISSON.DIST(A44,$B$11,FALSE)/(_xlfn.POISSON.DIST(A44,$B$11,FALSE)+(1-$B$11/A44)*_xlfn.POISSON.DIST(A44-1,$B$11,TRUE)))</f>
        <v>7.419059420280647e-13</v>
      </c>
      <c r="C44" s="13">
        <f>IF(A44&lt;=$B$11,0,1-B44*EXP(-(A44-$B$11)*$B$8/$B$5))</f>
        <v>0.9999999999999736</v>
      </c>
      <c r="D44" s="14">
        <f>IF(A44&lt;=$B$11,"",B44*$B$5/(A44-$B$11))</f>
        <v>4.451435652168388e-12</v>
      </c>
      <c r="E44" s="13">
        <f>MIN(1,$B$11/A44)</f>
        <v>0.25</v>
      </c>
      <c r="F44" s="5" t="b">
        <f>AND(C44&gt;=$B$7,E44&lt;=$B$9)</f>
        <v>1</v>
      </c>
    </row>
  </sheetData>
  <conditionalFormatting sqref="A15:F44">
    <cfRule type="expression" dxfId="0" priority="1">
      <formula>$F15=TRUE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3" width="10.7109375" customWidth="1"/>
    <col min="4" max="4" width="11.7109375" customWidth="1"/>
    <col min="5" max="5" width="12.7109375" customWidth="1"/>
    <col min="6" max="6" width="11.7109375" customWidth="1"/>
    <col min="7" max="8" width="10.7109375" customWidth="1"/>
    <col min="9" max="9" width="11.7109375" customWidth="1"/>
    <col min="10" max="10" width="10.7109375" customWidth="1"/>
    <col min="11" max="11" width="12.7109375" customWidth="1"/>
    <col min="12" max="12" width="13.7109375" customWidth="1"/>
    <col min="13" max="13" width="11.7109375" customWidth="1"/>
    <col min="14" max="14" width="13.7109375" customWidth="1"/>
    <col min="15" max="15" width="12.7109375" customWidth="1"/>
    <col min="16" max="16" width="14.7109375" customWidth="1"/>
  </cols>
  <sheetData>
    <row r="1" spans="1:16">
      <c r="A1" s="1" t="s">
        <v>32</v>
      </c>
    </row>
    <row r="2" spans="1:16">
      <c r="A2" s="2" t="s">
        <v>33</v>
      </c>
    </row>
    <row r="4" spans="1:16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28</v>
      </c>
      <c r="O4" s="3" t="s">
        <v>47</v>
      </c>
      <c r="P4" s="3" t="s">
        <v>48</v>
      </c>
    </row>
    <row r="5" spans="1:16">
      <c r="A5" s="5" t="s">
        <v>49</v>
      </c>
      <c r="B5" s="12">
        <v>66.20599687772608</v>
      </c>
      <c r="C5" s="12">
        <v>55</v>
      </c>
      <c r="D5" s="13">
        <f>IF(B5=0,"",C5/B5-1)</f>
        <v>-0.1692595445458227</v>
      </c>
      <c r="E5" s="12">
        <v>417.2676567808219</v>
      </c>
      <c r="F5" s="12">
        <v>377.0063</v>
      </c>
      <c r="G5" s="13">
        <f>IF(E5=0,"",F5/E5-1)</f>
        <v>-0.09648808415067245</v>
      </c>
      <c r="H5" s="12">
        <v>20</v>
      </c>
      <c r="I5" s="14">
        <v>23</v>
      </c>
      <c r="J5" s="14">
        <v>22.16666666666667</v>
      </c>
      <c r="K5" s="14">
        <f>J5-H5</f>
        <v>2.166666666666668</v>
      </c>
      <c r="L5" s="12">
        <v>55</v>
      </c>
      <c r="M5" s="12">
        <v>0</v>
      </c>
      <c r="N5" s="13">
        <f>IF(C5=0,1,L5/C5)</f>
        <v>1.0</v>
      </c>
      <c r="O5" s="13">
        <f>IF(C5=0,0,M5/C5)</f>
        <v>0.0</v>
      </c>
      <c r="P5" s="5" t="str">
        <f>IF(N5&lt;0.7,"Below 70%",IF(N5&lt;0.8,"Below target","On target"))</f>
        <v>On target</v>
      </c>
    </row>
    <row r="6" spans="1:16">
      <c r="A6" s="5" t="s">
        <v>50</v>
      </c>
      <c r="B6" s="12">
        <v>48.29382155761397</v>
      </c>
      <c r="C6" s="12">
        <v>55</v>
      </c>
      <c r="D6" s="13">
        <f>IF(B6=0,"",C6/B6-1)</f>
        <v>0.13886203713213363</v>
      </c>
      <c r="E6" s="12">
        <v>417.3394742268042</v>
      </c>
      <c r="F6" s="12">
        <v>485.5551</v>
      </c>
      <c r="G6" s="13">
        <f>IF(E6=0,"",F6/E6-1)</f>
        <v>0.16345356714597248</v>
      </c>
      <c r="H6" s="12">
        <v>15</v>
      </c>
      <c r="I6" s="14">
        <v>21</v>
      </c>
      <c r="J6" s="14">
        <v>19.33333333333333</v>
      </c>
      <c r="K6" s="14">
        <f>J6-H6</f>
        <v>4.333333333333332</v>
      </c>
      <c r="L6" s="12">
        <v>50</v>
      </c>
      <c r="M6" s="12">
        <v>1</v>
      </c>
      <c r="N6" s="13">
        <f>IF(C6=0,1,L6/C6)</f>
        <v>0.9090909090909091</v>
      </c>
      <c r="O6" s="13">
        <f>IF(C6=0,0,M6/C6)</f>
        <v>0.01818181818181818</v>
      </c>
      <c r="P6" s="5" t="str">
        <f>IF(N6&lt;0.7,"Below 70%",IF(N6&lt;0.8,"Below target","On target"))</f>
        <v>On target</v>
      </c>
    </row>
    <row r="7" spans="1:16">
      <c r="A7" s="5" t="s">
        <v>51</v>
      </c>
      <c r="B7" s="12">
        <v>38.01974660472049</v>
      </c>
      <c r="C7" s="12">
        <v>45</v>
      </c>
      <c r="D7" s="13">
        <f>IF(B7=0,"",C7/B7-1)</f>
        <v>0.18359547389547437</v>
      </c>
      <c r="E7" s="12">
        <v>425.5813454855584</v>
      </c>
      <c r="F7" s="12">
        <v>443.8911</v>
      </c>
      <c r="G7" s="13">
        <f>IF(E7=0,"",F7/E7-1)</f>
        <v>0.04302292548455444</v>
      </c>
      <c r="H7" s="12">
        <v>13</v>
      </c>
      <c r="I7" s="14">
        <v>15</v>
      </c>
      <c r="J7" s="14">
        <v>14.83333333333333</v>
      </c>
      <c r="K7" s="14">
        <f>J7-H7</f>
        <v>1.833333333333334</v>
      </c>
      <c r="L7" s="12">
        <v>39</v>
      </c>
      <c r="M7" s="12">
        <v>1</v>
      </c>
      <c r="N7" s="13">
        <f>IF(C7=0,1,L7/C7)</f>
        <v>0.8666666666666667</v>
      </c>
      <c r="O7" s="13">
        <f>IF(C7=0,0,M7/C7)</f>
        <v>0.022222222222222223</v>
      </c>
      <c r="P7" s="5" t="str">
        <f>IF(N7&lt;0.7,"Below 70%",IF(N7&lt;0.8,"Below target","On target"))</f>
        <v>On target</v>
      </c>
    </row>
    <row r="8" spans="1:16">
      <c r="A8" s="5" t="s">
        <v>52</v>
      </c>
      <c r="B8" s="12">
        <v>29.15594966480377</v>
      </c>
      <c r="C8" s="12">
        <v>21</v>
      </c>
      <c r="D8" s="13">
        <f>IF(B8=0,"",C8/B8-1)</f>
        <v>-0.2797353459094972</v>
      </c>
      <c r="E8" s="12">
        <v>421.8584662401861</v>
      </c>
      <c r="F8" s="12">
        <v>643.9156</v>
      </c>
      <c r="G8" s="13">
        <f>IF(E8=0,"",F8/E8-1)</f>
        <v>0.5263782797555261</v>
      </c>
      <c r="H8" s="12">
        <v>10</v>
      </c>
      <c r="I8" s="14">
        <v>14</v>
      </c>
      <c r="J8" s="14">
        <v>13.83333333333333</v>
      </c>
      <c r="K8" s="14">
        <f>J8-H8</f>
        <v>3.833333333333334</v>
      </c>
      <c r="L8" s="12">
        <v>20</v>
      </c>
      <c r="M8" s="12">
        <v>0</v>
      </c>
      <c r="N8" s="13">
        <f>IF(C8=0,1,L8/C8)</f>
        <v>0.9523809523809523</v>
      </c>
      <c r="O8" s="13">
        <f>IF(C8=0,0,M8/C8)</f>
        <v>0.0</v>
      </c>
      <c r="P8" s="5" t="str">
        <f>IF(N8&lt;0.7,"Below 70%",IF(N8&lt;0.8,"Below target","On target"))</f>
        <v>On target</v>
      </c>
    </row>
    <row r="9" spans="1:16">
      <c r="A9" s="5" t="s">
        <v>53</v>
      </c>
      <c r="B9" s="12">
        <v>23.59699484106786</v>
      </c>
      <c r="C9" s="12">
        <v>20</v>
      </c>
      <c r="D9" s="13">
        <f>IF(B9=0,"",C9/B9-1)</f>
        <v>-0.15243444622057134</v>
      </c>
      <c r="E9" s="12">
        <v>431.1209176900585</v>
      </c>
      <c r="F9" s="12">
        <v>335.4083</v>
      </c>
      <c r="G9" s="13">
        <f>IF(E9=0,"",F9/E9-1)</f>
        <v>-0.2220087538384492</v>
      </c>
      <c r="H9" s="12">
        <v>9</v>
      </c>
      <c r="I9" s="14">
        <v>11</v>
      </c>
      <c r="J9" s="14">
        <v>10.33333333333333</v>
      </c>
      <c r="K9" s="14">
        <f>J9-H9</f>
        <v>1.333333333333334</v>
      </c>
      <c r="L9" s="12">
        <v>19</v>
      </c>
      <c r="M9" s="12">
        <v>0</v>
      </c>
      <c r="N9" s="13">
        <f>IF(C9=0,1,L9/C9)</f>
        <v>0.95</v>
      </c>
      <c r="O9" s="13">
        <f>IF(C9=0,0,M9/C9)</f>
        <v>0.0</v>
      </c>
      <c r="P9" s="5" t="str">
        <f>IF(N9&lt;0.7,"Below 70%",IF(N9&lt;0.8,"Below target","On target"))</f>
        <v>On target</v>
      </c>
    </row>
    <row r="10" spans="1:16">
      <c r="A10" s="5" t="s">
        <v>54</v>
      </c>
      <c r="B10" s="12">
        <v>19.24333218570439</v>
      </c>
      <c r="C10" s="12">
        <v>21</v>
      </c>
      <c r="D10" s="13">
        <f>IF(B10=0,"",C10/B10-1)</f>
        <v>0.09128709089170184</v>
      </c>
      <c r="E10" s="12">
        <v>433.2311596905888</v>
      </c>
      <c r="F10" s="12">
        <v>391.6335</v>
      </c>
      <c r="G10" s="13">
        <f>IF(E10=0,"",F10/E10-1)</f>
        <v>-0.09601723874223989</v>
      </c>
      <c r="H10" s="12">
        <v>8</v>
      </c>
      <c r="I10" s="14">
        <v>9</v>
      </c>
      <c r="J10" s="14">
        <v>8.333333333333334</v>
      </c>
      <c r="K10" s="14">
        <f>J10-H10</f>
        <v>0.3333333333333339</v>
      </c>
      <c r="L10" s="12">
        <v>20</v>
      </c>
      <c r="M10" s="12">
        <v>0</v>
      </c>
      <c r="N10" s="13">
        <f>IF(C10=0,1,L10/C10)</f>
        <v>0.9523809523809523</v>
      </c>
      <c r="O10" s="13">
        <f>IF(C10=0,0,M10/C10)</f>
        <v>0.0</v>
      </c>
      <c r="P10" s="5" t="str">
        <f>IF(N10&lt;0.7,"Below 70%",IF(N10&lt;0.8,"Below target","On target"))</f>
        <v>On target</v>
      </c>
    </row>
    <row r="11" spans="1:16">
      <c r="A11" s="5" t="s">
        <v>55</v>
      </c>
      <c r="B11" s="12">
        <v>17.90656479893729</v>
      </c>
      <c r="C11" s="12">
        <v>19</v>
      </c>
      <c r="D11" s="13">
        <f>IF(B11=0,"",C11/B11-1)</f>
        <v>0.061063370520269</v>
      </c>
      <c r="E11" s="12">
        <v>439.4048075093284</v>
      </c>
      <c r="F11" s="12">
        <v>439.0733</v>
      </c>
      <c r="G11" s="13">
        <f>IF(E11=0,"",F11/E11-1)</f>
        <v>-0.0007544467053226533</v>
      </c>
      <c r="H11" s="12">
        <v>7</v>
      </c>
      <c r="I11" s="14">
        <v>9</v>
      </c>
      <c r="J11" s="14">
        <v>9</v>
      </c>
      <c r="K11" s="14">
        <f>J11-H11</f>
        <v>2.0</v>
      </c>
      <c r="L11" s="12">
        <v>18</v>
      </c>
      <c r="M11" s="12">
        <v>0</v>
      </c>
      <c r="N11" s="13">
        <f>IF(C11=0,1,L11/C11)</f>
        <v>0.9473684210526315</v>
      </c>
      <c r="O11" s="13">
        <f>IF(C11=0,0,M11/C11)</f>
        <v>0.0</v>
      </c>
      <c r="P11" s="5" t="str">
        <f>IF(N11&lt;0.7,"Below 70%",IF(N11&lt;0.8,"Below target","On target"))</f>
        <v>On target</v>
      </c>
    </row>
    <row r="12" spans="1:16">
      <c r="A12" s="5" t="s">
        <v>56</v>
      </c>
      <c r="B12" s="12">
        <v>18.72060694440594</v>
      </c>
      <c r="C12" s="12">
        <v>18</v>
      </c>
      <c r="D12" s="13">
        <f>IF(B12=0,"",C12/B12-1)</f>
        <v>-0.03849271268532606</v>
      </c>
      <c r="E12" s="12">
        <v>428.9598673095014</v>
      </c>
      <c r="F12" s="12">
        <v>407.4409</v>
      </c>
      <c r="G12" s="13">
        <f>IF(E12=0,"",F12/E12-1)</f>
        <v>-0.050165455907265843</v>
      </c>
      <c r="H12" s="12">
        <v>7</v>
      </c>
      <c r="I12" s="14">
        <v>10</v>
      </c>
      <c r="J12" s="14">
        <v>9.5</v>
      </c>
      <c r="K12" s="14">
        <f>J12-H12</f>
        <v>2.5</v>
      </c>
      <c r="L12" s="12">
        <v>17</v>
      </c>
      <c r="M12" s="12">
        <v>1</v>
      </c>
      <c r="N12" s="13">
        <f>IF(C12=0,1,L12/C12)</f>
        <v>0.9444444444444444</v>
      </c>
      <c r="O12" s="13">
        <f>IF(C12=0,0,M12/C12)</f>
        <v>0.05555555555555555</v>
      </c>
      <c r="P12" s="5" t="str">
        <f>IF(N12&lt;0.7,"Below 70%",IF(N12&lt;0.8,"Below target","On target"))</f>
        <v>On target</v>
      </c>
    </row>
    <row r="13" spans="1:16">
      <c r="A13" s="5" t="s">
        <v>57</v>
      </c>
      <c r="B13" s="12">
        <v>18.31210954226641</v>
      </c>
      <c r="C13" s="12">
        <v>16</v>
      </c>
      <c r="D13" s="13">
        <f>IF(B13=0,"",C13/B13-1)</f>
        <v>-0.12626123368964126</v>
      </c>
      <c r="E13" s="12">
        <v>423.6848194545454</v>
      </c>
      <c r="F13" s="12">
        <v>436.6194</v>
      </c>
      <c r="G13" s="13">
        <f>IF(E13=0,"",F13/E13-1)</f>
        <v>0.030528779771025638</v>
      </c>
      <c r="H13" s="12">
        <v>7</v>
      </c>
      <c r="I13" s="14">
        <v>12</v>
      </c>
      <c r="J13" s="14">
        <v>12</v>
      </c>
      <c r="K13" s="14">
        <f>J13-H13</f>
        <v>5.0</v>
      </c>
      <c r="L13" s="12">
        <v>16</v>
      </c>
      <c r="M13" s="12">
        <v>0</v>
      </c>
      <c r="N13" s="13">
        <f>IF(C13=0,1,L13/C13)</f>
        <v>1.0</v>
      </c>
      <c r="O13" s="13">
        <f>IF(C13=0,0,M13/C13)</f>
        <v>0.0</v>
      </c>
      <c r="P13" s="5" t="str">
        <f>IF(N13&lt;0.7,"Below 70%",IF(N13&lt;0.8,"Below target","On target"))</f>
        <v>On target</v>
      </c>
    </row>
    <row r="14" spans="1:16">
      <c r="A14" s="5" t="s">
        <v>58</v>
      </c>
      <c r="B14" s="12">
        <v>19.38306008211957</v>
      </c>
      <c r="C14" s="12">
        <v>18</v>
      </c>
      <c r="D14" s="13">
        <f>IF(B14=0,"",C14/B14-1)</f>
        <v>-0.07135406258145027</v>
      </c>
      <c r="E14" s="12">
        <v>432.6987827806122</v>
      </c>
      <c r="F14" s="12">
        <v>316.4647</v>
      </c>
      <c r="G14" s="13">
        <f>IF(E14=0,"",F14/E14-1)</f>
        <v>-0.268625860312497</v>
      </c>
      <c r="H14" s="12">
        <v>8</v>
      </c>
      <c r="I14" s="14">
        <v>14</v>
      </c>
      <c r="J14" s="14">
        <v>14</v>
      </c>
      <c r="K14" s="14">
        <f>J14-H14</f>
        <v>6.0</v>
      </c>
      <c r="L14" s="12">
        <v>18</v>
      </c>
      <c r="M14" s="12">
        <v>0</v>
      </c>
      <c r="N14" s="13">
        <f>IF(C14=0,1,L14/C14)</f>
        <v>1.0</v>
      </c>
      <c r="O14" s="13">
        <f>IF(C14=0,0,M14/C14)</f>
        <v>0.0</v>
      </c>
      <c r="P14" s="5" t="str">
        <f>IF(N14&lt;0.7,"Below 70%",IF(N14&lt;0.8,"Below target","On target"))</f>
        <v>On target</v>
      </c>
    </row>
    <row r="15" spans="1:16">
      <c r="A15" s="5" t="s">
        <v>59</v>
      </c>
      <c r="B15" s="12">
        <v>22.68472952309968</v>
      </c>
      <c r="C15" s="12">
        <v>17</v>
      </c>
      <c r="D15" s="13">
        <f>IF(B15=0,"",C15/B15-1)</f>
        <v>-0.2505971921468567</v>
      </c>
      <c r="E15" s="12">
        <v>426.87932739212</v>
      </c>
      <c r="F15" s="12">
        <v>368.7923</v>
      </c>
      <c r="G15" s="13">
        <f>IF(E15=0,"",F15/E15-1)</f>
        <v>-0.1360736481360758</v>
      </c>
      <c r="H15" s="12">
        <v>9</v>
      </c>
      <c r="I15" s="14">
        <v>18</v>
      </c>
      <c r="J15" s="14">
        <v>17.16666666666667</v>
      </c>
      <c r="K15" s="14">
        <f>J15-H15</f>
        <v>8.166666666666668</v>
      </c>
      <c r="L15" s="12">
        <v>17</v>
      </c>
      <c r="M15" s="12">
        <v>0</v>
      </c>
      <c r="N15" s="13">
        <f>IF(C15=0,1,L15/C15)</f>
        <v>1.0</v>
      </c>
      <c r="O15" s="13">
        <f>IF(C15=0,0,M15/C15)</f>
        <v>0.0</v>
      </c>
      <c r="P15" s="5" t="str">
        <f>IF(N15&lt;0.7,"Below 70%",IF(N15&lt;0.8,"Below target","On target"))</f>
        <v>On target</v>
      </c>
    </row>
    <row r="16" spans="1:16">
      <c r="A16" s="5" t="s">
        <v>60</v>
      </c>
      <c r="B16" s="12">
        <v>26.03532086313606</v>
      </c>
      <c r="C16" s="12">
        <v>26</v>
      </c>
      <c r="D16" s="13">
        <f>IF(B16=0,"",C16/B16-1)</f>
        <v>-0.0013566517317661342</v>
      </c>
      <c r="E16" s="12">
        <v>421.3421342748334</v>
      </c>
      <c r="F16" s="12">
        <v>459.392</v>
      </c>
      <c r="G16" s="13">
        <f>IF(E16=0,"",F16/E16-1)</f>
        <v>0.09030633926667164</v>
      </c>
      <c r="H16" s="12">
        <v>9</v>
      </c>
      <c r="I16" s="14">
        <v>22</v>
      </c>
      <c r="J16" s="14">
        <v>21.66666666666667</v>
      </c>
      <c r="K16" s="14">
        <f>J16-H16</f>
        <v>12.666666666666668</v>
      </c>
      <c r="L16" s="12">
        <v>26</v>
      </c>
      <c r="M16" s="12">
        <v>0</v>
      </c>
      <c r="N16" s="13">
        <f>IF(C16=0,1,L16/C16)</f>
        <v>1.0</v>
      </c>
      <c r="O16" s="13">
        <f>IF(C16=0,0,M16/C16)</f>
        <v>0.0</v>
      </c>
      <c r="P16" s="5" t="str">
        <f>IF(N16&lt;0.7,"Below 70%",IF(N16&lt;0.8,"Below target","On target"))</f>
        <v>On target</v>
      </c>
    </row>
    <row r="17" spans="1:16">
      <c r="A17" s="5" t="s">
        <v>61</v>
      </c>
      <c r="B17" s="12">
        <v>32.39686454218957</v>
      </c>
      <c r="C17" s="12">
        <v>36</v>
      </c>
      <c r="D17" s="13">
        <f>IF(B17=0,"",C17/B17-1)</f>
        <v>0.11121864750578458</v>
      </c>
      <c r="E17" s="12">
        <v>401.7635986852485</v>
      </c>
      <c r="F17" s="12">
        <v>361.5161</v>
      </c>
      <c r="G17" s="13">
        <f>IF(E17=0,"",F17/E17-1)</f>
        <v>-0.10017706635682389</v>
      </c>
      <c r="H17" s="12">
        <v>11</v>
      </c>
      <c r="I17" s="14">
        <v>19</v>
      </c>
      <c r="J17" s="14">
        <v>18.33333333333333</v>
      </c>
      <c r="K17" s="14">
        <f>J17-H17</f>
        <v>7.333333333333332</v>
      </c>
      <c r="L17" s="12">
        <v>36</v>
      </c>
      <c r="M17" s="12">
        <v>0</v>
      </c>
      <c r="N17" s="13">
        <f>IF(C17=0,1,L17/C17)</f>
        <v>1.0</v>
      </c>
      <c r="O17" s="13">
        <f>IF(C17=0,0,M17/C17)</f>
        <v>0.0</v>
      </c>
      <c r="P17" s="5" t="str">
        <f>IF(N17&lt;0.7,"Below 70%",IF(N17&lt;0.8,"Below target","On target"))</f>
        <v>On target</v>
      </c>
    </row>
    <row r="18" spans="1:16">
      <c r="A18" s="5" t="s">
        <v>62</v>
      </c>
      <c r="B18" s="12">
        <v>38.89280355782032</v>
      </c>
      <c r="C18" s="12">
        <v>35</v>
      </c>
      <c r="D18" s="13">
        <f>IF(B18=0,"",C18/B18-1)</f>
        <v>-0.10009058750503941</v>
      </c>
      <c r="E18" s="12">
        <v>404.1811378972062</v>
      </c>
      <c r="F18" s="12">
        <v>439.1287</v>
      </c>
      <c r="G18" s="13">
        <f>IF(E18=0,"",F18/E18-1)</f>
        <v>0.08646509900143307</v>
      </c>
      <c r="H18" s="12">
        <v>12</v>
      </c>
      <c r="I18" s="14">
        <v>16</v>
      </c>
      <c r="J18" s="14">
        <v>16.5</v>
      </c>
      <c r="K18" s="14">
        <f>J18-H18</f>
        <v>4.5</v>
      </c>
      <c r="L18" s="12">
        <v>35</v>
      </c>
      <c r="M18" s="12">
        <v>0</v>
      </c>
      <c r="N18" s="13">
        <f>IF(C18=0,1,L18/C18)</f>
        <v>1.0</v>
      </c>
      <c r="O18" s="13">
        <f>IF(C18=0,0,M18/C18)</f>
        <v>0.0</v>
      </c>
      <c r="P18" s="5" t="str">
        <f>IF(N18&lt;0.7,"Below 70%",IF(N18&lt;0.8,"Below target","On target"))</f>
        <v>On target</v>
      </c>
    </row>
    <row r="19" spans="1:16">
      <c r="A19" s="5" t="s">
        <v>63</v>
      </c>
      <c r="B19" s="12">
        <v>48.82087110834745</v>
      </c>
      <c r="C19" s="12">
        <v>44</v>
      </c>
      <c r="D19" s="13">
        <f>IF(B19=0,"",C19/B19-1)</f>
        <v>-0.09874610999153532</v>
      </c>
      <c r="E19" s="12">
        <v>391.5701770537262</v>
      </c>
      <c r="F19" s="12">
        <v>450.4317</v>
      </c>
      <c r="G19" s="13">
        <f>IF(E19=0,"",F19/E19-1)</f>
        <v>0.15032177217673448</v>
      </c>
      <c r="H19" s="12">
        <v>15</v>
      </c>
      <c r="I19" s="14">
        <v>17</v>
      </c>
      <c r="J19" s="14">
        <v>17.83333333333333</v>
      </c>
      <c r="K19" s="14">
        <f>J19-H19</f>
        <v>2.833333333333332</v>
      </c>
      <c r="L19" s="12">
        <v>42</v>
      </c>
      <c r="M19" s="12">
        <v>0</v>
      </c>
      <c r="N19" s="13">
        <f>IF(C19=0,1,L19/C19)</f>
        <v>0.9545454545454546</v>
      </c>
      <c r="O19" s="13">
        <f>IF(C19=0,0,M19/C19)</f>
        <v>0.0</v>
      </c>
      <c r="P19" s="5" t="str">
        <f>IF(N19&lt;0.7,"Below 70%",IF(N19&lt;0.8,"Below target","On target"))</f>
        <v>On target</v>
      </c>
    </row>
    <row r="20" spans="1:16">
      <c r="A20" s="5" t="s">
        <v>64</v>
      </c>
      <c r="B20" s="12">
        <v>58.73459190202299</v>
      </c>
      <c r="C20" s="12">
        <v>73</v>
      </c>
      <c r="D20" s="13">
        <f>IF(B20=0,"",C20/B20-1)</f>
        <v>0.24287915580946873</v>
      </c>
      <c r="E20" s="12">
        <v>388.7134689809631</v>
      </c>
      <c r="F20" s="12">
        <v>401.9195</v>
      </c>
      <c r="G20" s="13">
        <f>IF(E20=0,"",F20/E20-1)</f>
        <v>0.03397369032171027</v>
      </c>
      <c r="H20" s="12">
        <v>17</v>
      </c>
      <c r="I20" s="14">
        <v>18</v>
      </c>
      <c r="J20" s="14">
        <v>16.33333333333333</v>
      </c>
      <c r="K20" s="14">
        <f>J20-H20</f>
        <v>-0.6666666666666679</v>
      </c>
      <c r="L20" s="12">
        <v>40</v>
      </c>
      <c r="M20" s="12">
        <v>8</v>
      </c>
      <c r="N20" s="13">
        <f>IF(C20=0,1,L20/C20)</f>
        <v>0.547945205479452</v>
      </c>
      <c r="O20" s="13">
        <f>IF(C20=0,0,M20/C20)</f>
        <v>0.1095890410958904</v>
      </c>
      <c r="P20" s="5" t="str">
        <f>IF(N20&lt;0.7,"Below 70%",IF(N20&lt;0.8,"Below target","On target"))</f>
        <v>Below 70%</v>
      </c>
    </row>
    <row r="21" spans="1:16">
      <c r="A21" s="5" t="s">
        <v>65</v>
      </c>
      <c r="B21" s="12">
        <v>72.62531229429516</v>
      </c>
      <c r="C21" s="12">
        <v>68</v>
      </c>
      <c r="D21" s="13">
        <f>IF(B21=0,"",C21/B21-1)</f>
        <v>-0.06368733087924339</v>
      </c>
      <c r="E21" s="12">
        <v>380.5866699388667</v>
      </c>
      <c r="F21" s="12">
        <v>400.5055</v>
      </c>
      <c r="G21" s="13">
        <f>IF(E21=0,"",F21/E21-1)</f>
        <v>0.05233717214618383</v>
      </c>
      <c r="H21" s="12">
        <v>20</v>
      </c>
      <c r="I21" s="14">
        <v>20</v>
      </c>
      <c r="J21" s="14">
        <v>18.83333333333333</v>
      </c>
      <c r="K21" s="14">
        <f>J21-H21</f>
        <v>-1.1666666666666679</v>
      </c>
      <c r="L21" s="12">
        <v>62</v>
      </c>
      <c r="M21" s="12">
        <v>2</v>
      </c>
      <c r="N21" s="13">
        <f>IF(C21=0,1,L21/C21)</f>
        <v>0.9117647058823529</v>
      </c>
      <c r="O21" s="13">
        <f>IF(C21=0,0,M21/C21)</f>
        <v>0.029411764705882353</v>
      </c>
      <c r="P21" s="5" t="str">
        <f>IF(N21&lt;0.7,"Below 70%",IF(N21&lt;0.8,"Below target","On target"))</f>
        <v>On target</v>
      </c>
    </row>
    <row r="22" spans="1:16">
      <c r="A22" s="5" t="s">
        <v>66</v>
      </c>
      <c r="B22" s="12">
        <v>82.27587892110738</v>
      </c>
      <c r="C22" s="12">
        <v>80</v>
      </c>
      <c r="D22" s="13">
        <f>IF(B22=0,"",C22/B22-1)</f>
        <v>-0.02766155708029161</v>
      </c>
      <c r="E22" s="12">
        <v>377.6083270953042</v>
      </c>
      <c r="F22" s="12">
        <v>467.0907</v>
      </c>
      <c r="G22" s="13">
        <f>IF(E22=0,"",F22/E22-1)</f>
        <v>0.236971397302135</v>
      </c>
      <c r="H22" s="12">
        <v>22</v>
      </c>
      <c r="I22" s="14">
        <v>24</v>
      </c>
      <c r="J22" s="14">
        <v>24.5</v>
      </c>
      <c r="K22" s="14">
        <f>J22-H22</f>
        <v>2.5</v>
      </c>
      <c r="L22" s="12">
        <v>69</v>
      </c>
      <c r="M22" s="12">
        <v>2</v>
      </c>
      <c r="N22" s="13">
        <f>IF(C22=0,1,L22/C22)</f>
        <v>0.8625</v>
      </c>
      <c r="O22" s="13">
        <f>IF(C22=0,0,M22/C22)</f>
        <v>0.025</v>
      </c>
      <c r="P22" s="5" t="str">
        <f>IF(N22&lt;0.7,"Below 70%",IF(N22&lt;0.8,"Below target","On target"))</f>
        <v>On target</v>
      </c>
    </row>
    <row r="23" spans="1:16">
      <c r="A23" s="5" t="s">
        <v>67</v>
      </c>
      <c r="B23" s="12">
        <v>99.68824288438262</v>
      </c>
      <c r="C23" s="12">
        <v>92</v>
      </c>
      <c r="D23" s="13">
        <f>IF(B23=0,"",C23/B23-1)</f>
        <v>-0.07712286486280395</v>
      </c>
      <c r="E23" s="12">
        <v>376.3691341048332</v>
      </c>
      <c r="F23" s="12">
        <v>367.1306</v>
      </c>
      <c r="G23" s="13">
        <f>IF(E23=0,"",F23/E23-1)</f>
        <v>-0.024546471183951923</v>
      </c>
      <c r="H23" s="12">
        <v>26</v>
      </c>
      <c r="I23" s="14">
        <v>26</v>
      </c>
      <c r="J23" s="14">
        <v>25.33333333333333</v>
      </c>
      <c r="K23" s="14">
        <f>J23-H23</f>
        <v>-0.6666666666666679</v>
      </c>
      <c r="L23" s="12">
        <v>85</v>
      </c>
      <c r="M23" s="12">
        <v>0</v>
      </c>
      <c r="N23" s="13">
        <f>IF(C23=0,1,L23/C23)</f>
        <v>0.9239130434782609</v>
      </c>
      <c r="O23" s="13">
        <f>IF(C23=0,0,M23/C23)</f>
        <v>0.0</v>
      </c>
      <c r="P23" s="5" t="str">
        <f>IF(N23&lt;0.7,"Below 70%",IF(N23&lt;0.8,"Below target","On target"))</f>
        <v>On target</v>
      </c>
    </row>
    <row r="24" spans="1:16">
      <c r="A24" s="5" t="s">
        <v>68</v>
      </c>
      <c r="B24" s="12">
        <v>115.6386720128615</v>
      </c>
      <c r="C24" s="12">
        <v>126</v>
      </c>
      <c r="D24" s="13">
        <f>IF(B24=0,"",C24/B24-1)</f>
        <v>0.0896008904874499</v>
      </c>
      <c r="E24" s="12">
        <v>377.739705651341</v>
      </c>
      <c r="F24" s="12">
        <v>364.8865</v>
      </c>
      <c r="G24" s="13">
        <f>IF(E24=0,"",F24/E24-1)</f>
        <v>-0.034026620604201696</v>
      </c>
      <c r="H24" s="12">
        <v>30</v>
      </c>
      <c r="I24" s="14">
        <v>31</v>
      </c>
      <c r="J24" s="14">
        <v>30</v>
      </c>
      <c r="K24" s="14">
        <f>J24-H24</f>
        <v>0.0</v>
      </c>
      <c r="L24" s="12">
        <v>109</v>
      </c>
      <c r="M24" s="12">
        <v>4</v>
      </c>
      <c r="N24" s="13">
        <f>IF(C24=0,1,L24/C24)</f>
        <v>0.8650793650793651</v>
      </c>
      <c r="O24" s="13">
        <f>IF(C24=0,0,M24/C24)</f>
        <v>0.031746031746031744</v>
      </c>
      <c r="P24" s="5" t="str">
        <f>IF(N24&lt;0.7,"Below 70%",IF(N24&lt;0.8,"Below target","On target"))</f>
        <v>On target</v>
      </c>
    </row>
    <row r="25" spans="1:16">
      <c r="A25" s="5" t="s">
        <v>69</v>
      </c>
      <c r="B25" s="12">
        <v>129.0227791845297</v>
      </c>
      <c r="C25" s="12">
        <v>102</v>
      </c>
      <c r="D25" s="13">
        <f>IF(B25=0,"",C25/B25-1)</f>
        <v>-0.2094419245603245</v>
      </c>
      <c r="E25" s="12">
        <v>380.9401084834589</v>
      </c>
      <c r="F25" s="12">
        <v>388.9088</v>
      </c>
      <c r="G25" s="13">
        <f>IF(E25=0,"",F25/E25-1)</f>
        <v>0.020918489124878148</v>
      </c>
      <c r="H25" s="12">
        <v>33</v>
      </c>
      <c r="I25" s="14">
        <v>35</v>
      </c>
      <c r="J25" s="14">
        <v>34.83333333333334</v>
      </c>
      <c r="K25" s="14">
        <f>J25-H25</f>
        <v>1.8333333333333357</v>
      </c>
      <c r="L25" s="12">
        <v>102</v>
      </c>
      <c r="M25" s="12">
        <v>0</v>
      </c>
      <c r="N25" s="13">
        <f>IF(C25=0,1,L25/C25)</f>
        <v>1.0</v>
      </c>
      <c r="O25" s="13">
        <f>IF(C25=0,0,M25/C25)</f>
        <v>0.0</v>
      </c>
      <c r="P25" s="5" t="str">
        <f>IF(N25&lt;0.7,"Below 70%",IF(N25&lt;0.8,"Below target","On target"))</f>
        <v>On target</v>
      </c>
    </row>
    <row r="26" spans="1:16">
      <c r="A26" s="5" t="s">
        <v>70</v>
      </c>
      <c r="B26" s="12">
        <v>142.4755686512299</v>
      </c>
      <c r="C26" s="12">
        <v>141</v>
      </c>
      <c r="D26" s="13">
        <f>IF(B26=0,"",C26/B26-1)</f>
        <v>-0.010356643354356598</v>
      </c>
      <c r="E26" s="12">
        <v>381.7100846916101</v>
      </c>
      <c r="F26" s="12">
        <v>340.779</v>
      </c>
      <c r="G26" s="13">
        <f>IF(E26=0,"",F26/E26-1)</f>
        <v>-0.1072308181867373</v>
      </c>
      <c r="H26" s="12">
        <v>36</v>
      </c>
      <c r="I26" s="14">
        <v>37</v>
      </c>
      <c r="J26" s="14">
        <v>37</v>
      </c>
      <c r="K26" s="14">
        <f>J26-H26</f>
        <v>1.0</v>
      </c>
      <c r="L26" s="12">
        <v>139</v>
      </c>
      <c r="M26" s="12">
        <v>0</v>
      </c>
      <c r="N26" s="13">
        <f>IF(C26=0,1,L26/C26)</f>
        <v>0.9858156028368794</v>
      </c>
      <c r="O26" s="13">
        <f>IF(C26=0,0,M26/C26)</f>
        <v>0.0</v>
      </c>
      <c r="P26" s="5" t="str">
        <f>IF(N26&lt;0.7,"Below 70%",IF(N26&lt;0.8,"Below target","On target"))</f>
        <v>On target</v>
      </c>
    </row>
    <row r="27" spans="1:16">
      <c r="A27" s="5" t="s">
        <v>71</v>
      </c>
      <c r="B27" s="12">
        <v>148.8140514604671</v>
      </c>
      <c r="C27" s="12">
        <v>147</v>
      </c>
      <c r="D27" s="13">
        <f>IF(B27=0,"",C27/B27-1)</f>
        <v>-0.012190054921990767</v>
      </c>
      <c r="E27" s="12">
        <v>379.0085426268454</v>
      </c>
      <c r="F27" s="12">
        <v>384.1416</v>
      </c>
      <c r="G27" s="13">
        <f>IF(E27=0,"",F27/E27-1)</f>
        <v>0.013543381733768234</v>
      </c>
      <c r="H27" s="12">
        <v>37</v>
      </c>
      <c r="I27" s="14">
        <v>37</v>
      </c>
      <c r="J27" s="14">
        <v>37</v>
      </c>
      <c r="K27" s="14">
        <f>J27-H27</f>
        <v>0.0</v>
      </c>
      <c r="L27" s="12">
        <v>133</v>
      </c>
      <c r="M27" s="12">
        <v>1</v>
      </c>
      <c r="N27" s="13">
        <f>IF(C27=0,1,L27/C27)</f>
        <v>0.9047619047619048</v>
      </c>
      <c r="O27" s="13">
        <f>IF(C27=0,0,M27/C27)</f>
        <v>0.006802721088435374</v>
      </c>
      <c r="P27" s="5" t="str">
        <f>IF(N27&lt;0.7,"Below 70%",IF(N27&lt;0.8,"Below target","On target"))</f>
        <v>On target</v>
      </c>
    </row>
    <row r="28" spans="1:16">
      <c r="A28" s="5" t="s">
        <v>72</v>
      </c>
      <c r="B28" s="12">
        <v>153.8919366154951</v>
      </c>
      <c r="C28" s="12">
        <v>159</v>
      </c>
      <c r="D28" s="13">
        <f>IF(B28=0,"",C28/B28-1)</f>
        <v>0.033192534299360865</v>
      </c>
      <c r="E28" s="12">
        <v>375.1522042422262</v>
      </c>
      <c r="F28" s="12">
        <v>383.8478</v>
      </c>
      <c r="G28" s="13">
        <f>IF(E28=0,"",F28/E28-1)</f>
        <v>0.023178847570249905</v>
      </c>
      <c r="H28" s="12">
        <v>38</v>
      </c>
      <c r="I28" s="14">
        <v>39</v>
      </c>
      <c r="J28" s="14">
        <v>39</v>
      </c>
      <c r="K28" s="14">
        <f>J28-H28</f>
        <v>1.0</v>
      </c>
      <c r="L28" s="12">
        <v>137</v>
      </c>
      <c r="M28" s="12">
        <v>3</v>
      </c>
      <c r="N28" s="13">
        <f>IF(C28=0,1,L28/C28)</f>
        <v>0.8616352201257862</v>
      </c>
      <c r="O28" s="13">
        <f>IF(C28=0,0,M28/C28)</f>
        <v>0.018867924528301886</v>
      </c>
      <c r="P28" s="5" t="str">
        <f>IF(N28&lt;0.7,"Below 70%",IF(N28&lt;0.8,"Below target","On target"))</f>
        <v>On target</v>
      </c>
    </row>
    <row r="29" spans="1:16">
      <c r="A29" s="5" t="s">
        <v>73</v>
      </c>
      <c r="B29" s="12">
        <v>158.2809476218432</v>
      </c>
      <c r="C29" s="12">
        <v>146</v>
      </c>
      <c r="D29" s="13">
        <f>IF(B29=0,"",C29/B29-1)</f>
        <v>-0.07758955077261875</v>
      </c>
      <c r="E29" s="12">
        <v>372.6250249029964</v>
      </c>
      <c r="F29" s="12">
        <v>395.2068</v>
      </c>
      <c r="G29" s="13">
        <f>IF(E29=0,"",F29/E29-1)</f>
        <v>0.06060187477446588</v>
      </c>
      <c r="H29" s="12">
        <v>39</v>
      </c>
      <c r="I29" s="14">
        <v>41</v>
      </c>
      <c r="J29" s="14">
        <v>40</v>
      </c>
      <c r="K29" s="14">
        <f>J29-H29</f>
        <v>1.0</v>
      </c>
      <c r="L29" s="12">
        <v>136</v>
      </c>
      <c r="M29" s="12">
        <v>1</v>
      </c>
      <c r="N29" s="13">
        <f>IF(C29=0,1,L29/C29)</f>
        <v>0.9315068493150684</v>
      </c>
      <c r="O29" s="13">
        <f>IF(C29=0,0,M29/C29)</f>
        <v>0.00684931506849315</v>
      </c>
      <c r="P29" s="5" t="str">
        <f>IF(N29&lt;0.7,"Below 70%",IF(N29&lt;0.8,"Below target","On target"))</f>
        <v>On target</v>
      </c>
    </row>
    <row r="30" spans="1:16">
      <c r="A30" s="5" t="s">
        <v>74</v>
      </c>
      <c r="B30" s="12">
        <v>155.2142966485274</v>
      </c>
      <c r="C30" s="12">
        <v>158</v>
      </c>
      <c r="D30" s="13">
        <f>IF(B30=0,"",C30/B30-1)</f>
        <v>0.017947466255513023</v>
      </c>
      <c r="E30" s="12">
        <v>371.7087838749397</v>
      </c>
      <c r="F30" s="12">
        <v>388.5177</v>
      </c>
      <c r="G30" s="13">
        <f>IF(E30=0,"",F30/E30-1)</f>
        <v>0.045220658898164734</v>
      </c>
      <c r="H30" s="12">
        <v>38</v>
      </c>
      <c r="I30" s="14">
        <v>40</v>
      </c>
      <c r="J30" s="14">
        <v>39.83333333333334</v>
      </c>
      <c r="K30" s="14">
        <f>J30-H30</f>
        <v>1.8333333333333357</v>
      </c>
      <c r="L30" s="12">
        <v>137</v>
      </c>
      <c r="M30" s="12">
        <v>2</v>
      </c>
      <c r="N30" s="13">
        <f>IF(C30=0,1,L30/C30)</f>
        <v>0.8670886075949367</v>
      </c>
      <c r="O30" s="13">
        <f>IF(C30=0,0,M30/C30)</f>
        <v>0.012658227848101266</v>
      </c>
      <c r="P30" s="5" t="str">
        <f>IF(N30&lt;0.7,"Below 70%",IF(N30&lt;0.8,"Below target","On target"))</f>
        <v>On target</v>
      </c>
    </row>
    <row r="31" spans="1:16">
      <c r="A31" s="5" t="s">
        <v>75</v>
      </c>
      <c r="B31" s="12">
        <v>157.6552752990108</v>
      </c>
      <c r="C31" s="12">
        <v>143</v>
      </c>
      <c r="D31" s="13">
        <f>IF(B31=0,"",C31/B31-1)</f>
        <v>-0.09295772229134358</v>
      </c>
      <c r="E31" s="12">
        <v>374.7854494712868</v>
      </c>
      <c r="F31" s="12">
        <v>359.1811</v>
      </c>
      <c r="G31" s="13">
        <f>IF(E31=0,"",F31/E31-1)</f>
        <v>-0.04163541966023476</v>
      </c>
      <c r="H31" s="12">
        <v>39</v>
      </c>
      <c r="I31" s="14">
        <v>40</v>
      </c>
      <c r="J31" s="14">
        <v>38.66666666666666</v>
      </c>
      <c r="K31" s="14">
        <f>J31-H31</f>
        <v>-0.3333333333333357</v>
      </c>
      <c r="L31" s="12">
        <v>142</v>
      </c>
      <c r="M31" s="12">
        <v>1</v>
      </c>
      <c r="N31" s="13">
        <f>IF(C31=0,1,L31/C31)</f>
        <v>0.993006993006993</v>
      </c>
      <c r="O31" s="13">
        <f>IF(C31=0,0,M31/C31)</f>
        <v>0.006993006993006993</v>
      </c>
      <c r="P31" s="5" t="str">
        <f>IF(N31&lt;0.7,"Below 70%",IF(N31&lt;0.8,"Below target","On target"))</f>
        <v>On target</v>
      </c>
    </row>
    <row r="32" spans="1:16">
      <c r="A32" s="5" t="s">
        <v>76</v>
      </c>
      <c r="B32" s="12">
        <v>155.0137814987312</v>
      </c>
      <c r="C32" s="12">
        <v>149</v>
      </c>
      <c r="D32" s="13">
        <f>IF(B32=0,"",C32/B32-1)</f>
        <v>-0.03879514092610159</v>
      </c>
      <c r="E32" s="12">
        <v>374.6331532313388</v>
      </c>
      <c r="F32" s="12">
        <v>377.4048</v>
      </c>
      <c r="G32" s="13">
        <f>IF(E32=0,"",F32/E32-1)</f>
        <v>0.007398295491882756</v>
      </c>
      <c r="H32" s="12">
        <v>38</v>
      </c>
      <c r="I32" s="14">
        <v>38</v>
      </c>
      <c r="J32" s="14">
        <v>37.5</v>
      </c>
      <c r="K32" s="14">
        <f>J32-H32</f>
        <v>-0.5</v>
      </c>
      <c r="L32" s="12">
        <v>137</v>
      </c>
      <c r="M32" s="12">
        <v>1</v>
      </c>
      <c r="N32" s="13">
        <f>IF(C32=0,1,L32/C32)</f>
        <v>0.9194630872483222</v>
      </c>
      <c r="O32" s="13">
        <f>IF(C32=0,0,M32/C32)</f>
        <v>0.006711409395973154</v>
      </c>
      <c r="P32" s="5" t="str">
        <f>IF(N32&lt;0.7,"Below 70%",IF(N32&lt;0.8,"Below target","On target"))</f>
        <v>On target</v>
      </c>
    </row>
    <row r="33" spans="1:16">
      <c r="A33" s="5" t="s">
        <v>77</v>
      </c>
      <c r="B33" s="12">
        <v>155.7335233484563</v>
      </c>
      <c r="C33" s="12">
        <v>384</v>
      </c>
      <c r="D33" s="13">
        <f>IF(B33=0,"",C33/B33-1)</f>
        <v>1.465750416118139</v>
      </c>
      <c r="E33" s="12">
        <v>371.8094438339639</v>
      </c>
      <c r="F33" s="12">
        <v>292.9243</v>
      </c>
      <c r="G33" s="13">
        <f>IF(E33=0,"",F33/E33-1)</f>
        <v>-0.21216551957510543</v>
      </c>
      <c r="H33" s="12">
        <v>38</v>
      </c>
      <c r="I33" s="14">
        <v>39</v>
      </c>
      <c r="J33" s="14">
        <v>39.33333333333334</v>
      </c>
      <c r="K33" s="14">
        <f>J33-H33</f>
        <v>1.3333333333333357</v>
      </c>
      <c r="L33" s="12">
        <v>2</v>
      </c>
      <c r="M33" s="12">
        <v>157</v>
      </c>
      <c r="N33" s="13">
        <f>IF(C33=0,1,L33/C33)</f>
        <v>0.005208333333333333</v>
      </c>
      <c r="O33" s="13">
        <f>IF(C33=0,0,M33/C33)</f>
        <v>0.4088541666666667</v>
      </c>
      <c r="P33" s="5" t="str">
        <f>IF(N33&lt;0.7,"Below 70%",IF(N33&lt;0.8,"Below target","On target"))</f>
        <v>Below 70%</v>
      </c>
    </row>
    <row r="34" spans="1:16">
      <c r="A34" s="5" t="s">
        <v>78</v>
      </c>
      <c r="B34" s="12">
        <v>159.5170312008542</v>
      </c>
      <c r="C34" s="12">
        <v>471</v>
      </c>
      <c r="D34" s="13">
        <f>IF(B34=0,"",C34/B34-1)</f>
        <v>1.9526627749669268</v>
      </c>
      <c r="E34" s="12">
        <v>370.7199296195652</v>
      </c>
      <c r="F34" s="12">
        <v>327.0437</v>
      </c>
      <c r="G34" s="13">
        <f>IF(E34=0,"",F34/E34-1)</f>
        <v>-0.11781462535447174</v>
      </c>
      <c r="H34" s="12">
        <v>39</v>
      </c>
      <c r="I34" s="14">
        <v>40</v>
      </c>
      <c r="J34" s="14">
        <v>39.66666666666666</v>
      </c>
      <c r="K34" s="14">
        <f>J34-H34</f>
        <v>0.6666666666666643</v>
      </c>
      <c r="L34" s="12">
        <v>0</v>
      </c>
      <c r="M34" s="12">
        <v>249</v>
      </c>
      <c r="N34" s="13">
        <f>IF(C34=0,1,L34/C34)</f>
        <v>0.0</v>
      </c>
      <c r="O34" s="13">
        <f>IF(C34=0,0,M34/C34)</f>
        <v>0.5286624203821656</v>
      </c>
      <c r="P34" s="5" t="str">
        <f>IF(N34&lt;0.7,"Below 70%",IF(N34&lt;0.8,"Below target","On target"))</f>
        <v>Below 70%</v>
      </c>
    </row>
    <row r="35" spans="1:16">
      <c r="A35" s="5" t="s">
        <v>79</v>
      </c>
      <c r="B35" s="12">
        <v>161.4285331034404</v>
      </c>
      <c r="C35" s="12">
        <v>441</v>
      </c>
      <c r="D35" s="13">
        <f>IF(B35=0,"",C35/B35-1)</f>
        <v>1.7318590556566313</v>
      </c>
      <c r="E35" s="12">
        <v>369.8754627330182</v>
      </c>
      <c r="F35" s="12">
        <v>312.8301</v>
      </c>
      <c r="G35" s="13">
        <f>IF(E35=0,"",F35/E35-1)</f>
        <v>-0.15422856739808777</v>
      </c>
      <c r="H35" s="12">
        <v>39</v>
      </c>
      <c r="I35" s="14">
        <v>39</v>
      </c>
      <c r="J35" s="14">
        <v>37.33333333333334</v>
      </c>
      <c r="K35" s="14">
        <f>J35-H35</f>
        <v>-1.6666666666666643</v>
      </c>
      <c r="L35" s="12">
        <v>0</v>
      </c>
      <c r="M35" s="12">
        <v>235</v>
      </c>
      <c r="N35" s="13">
        <f>IF(C35=0,1,L35/C35)</f>
        <v>0.0</v>
      </c>
      <c r="O35" s="13">
        <f>IF(C35=0,0,M35/C35)</f>
        <v>0.5328798185941043</v>
      </c>
      <c r="P35" s="5" t="str">
        <f>IF(N35&lt;0.7,"Below 70%",IF(N35&lt;0.8,"Below target","On target"))</f>
        <v>Below 70%</v>
      </c>
    </row>
    <row r="36" spans="1:16">
      <c r="A36" s="5" t="s">
        <v>80</v>
      </c>
      <c r="B36" s="12">
        <v>166.2828176822644</v>
      </c>
      <c r="C36" s="12">
        <v>436</v>
      </c>
      <c r="D36" s="13">
        <f>IF(B36=0,"",C36/B36-1)</f>
        <v>1.6220388015863128</v>
      </c>
      <c r="E36" s="12">
        <v>372.7928655387765</v>
      </c>
      <c r="F36" s="12">
        <v>305.9582</v>
      </c>
      <c r="G36" s="13">
        <f>IF(E36=0,"",F36/E36-1)</f>
        <v>-0.17928096730656096</v>
      </c>
      <c r="H36" s="12">
        <v>40</v>
      </c>
      <c r="I36" s="14">
        <v>41</v>
      </c>
      <c r="J36" s="14">
        <v>37.66666666666666</v>
      </c>
      <c r="K36" s="14">
        <f>J36-H36</f>
        <v>-2.3333333333333357</v>
      </c>
      <c r="L36" s="12">
        <v>0</v>
      </c>
      <c r="M36" s="12">
        <v>217</v>
      </c>
      <c r="N36" s="13">
        <f>IF(C36=0,1,L36/C36)</f>
        <v>0.0</v>
      </c>
      <c r="O36" s="13">
        <f>IF(C36=0,0,M36/C36)</f>
        <v>0.49770642201834864</v>
      </c>
      <c r="P36" s="5" t="str">
        <f>IF(N36&lt;0.7,"Below 70%",IF(N36&lt;0.8,"Below target","On target"))</f>
        <v>Below 70%</v>
      </c>
    </row>
    <row r="37" spans="1:16">
      <c r="A37" s="5" t="s">
        <v>81</v>
      </c>
      <c r="B37" s="12">
        <v>172.041695966632</v>
      </c>
      <c r="C37" s="12">
        <v>437</v>
      </c>
      <c r="D37" s="13">
        <f>IF(B37=0,"",C37/B37-1)</f>
        <v>1.540081911798623</v>
      </c>
      <c r="E37" s="12">
        <v>373.8702218837107</v>
      </c>
      <c r="F37" s="12">
        <v>330.4648</v>
      </c>
      <c r="G37" s="13">
        <f>IF(E37=0,"",F37/E37-1)</f>
        <v>-0.1160975636546191</v>
      </c>
      <c r="H37" s="12">
        <v>42</v>
      </c>
      <c r="I37" s="14">
        <v>43</v>
      </c>
      <c r="J37" s="14">
        <v>39.5</v>
      </c>
      <c r="K37" s="14">
        <f>J37-H37</f>
        <v>-2.5</v>
      </c>
      <c r="L37" s="12">
        <v>0</v>
      </c>
      <c r="M37" s="12">
        <v>213</v>
      </c>
      <c r="N37" s="13">
        <f>IF(C37=0,1,L37/C37)</f>
        <v>0.0</v>
      </c>
      <c r="O37" s="13">
        <f>IF(C37=0,0,M37/C37)</f>
        <v>0.4874141876430206</v>
      </c>
      <c r="P37" s="5" t="str">
        <f>IF(N37&lt;0.7,"Below 70%",IF(N37&lt;0.8,"Below target","On target"))</f>
        <v>Below 70%</v>
      </c>
    </row>
    <row r="38" spans="1:16">
      <c r="A38" s="5" t="s">
        <v>82</v>
      </c>
      <c r="B38" s="12">
        <v>180.5877360291418</v>
      </c>
      <c r="C38" s="12">
        <v>358</v>
      </c>
      <c r="D38" s="13">
        <f>IF(B38=0,"",C38/B38-1)</f>
        <v>0.9824159041576819</v>
      </c>
      <c r="E38" s="12">
        <v>375.5094683500117</v>
      </c>
      <c r="F38" s="12">
        <v>311.1719</v>
      </c>
      <c r="G38" s="13">
        <f>IF(E38=0,"",F38/E38-1)</f>
        <v>-0.1713340774940001</v>
      </c>
      <c r="H38" s="12">
        <v>44</v>
      </c>
      <c r="I38" s="14">
        <v>47</v>
      </c>
      <c r="J38" s="14">
        <v>44.16666666666666</v>
      </c>
      <c r="K38" s="14">
        <f>J38-H38</f>
        <v>0.1666666666666643</v>
      </c>
      <c r="L38" s="12">
        <v>5</v>
      </c>
      <c r="M38" s="12">
        <v>104</v>
      </c>
      <c r="N38" s="13">
        <f>IF(C38=0,1,L38/C38)</f>
        <v>0.013966480446927373</v>
      </c>
      <c r="O38" s="13">
        <f>IF(C38=0,0,M38/C38)</f>
        <v>0.2905027932960894</v>
      </c>
      <c r="P38" s="5" t="str">
        <f>IF(N38&lt;0.7,"Below 70%",IF(N38&lt;0.8,"Below target","On target"))</f>
        <v>Below 70%</v>
      </c>
    </row>
    <row r="39" spans="1:16">
      <c r="A39" s="5" t="s">
        <v>83</v>
      </c>
      <c r="B39" s="12">
        <v>189.8999139538098</v>
      </c>
      <c r="C39" s="12">
        <v>387</v>
      </c>
      <c r="D39" s="13">
        <f>IF(B39=0,"",C39/B39-1)</f>
        <v>1.0379156153495237</v>
      </c>
      <c r="E39" s="12">
        <v>380.1060058148364</v>
      </c>
      <c r="F39" s="12">
        <v>336.2941</v>
      </c>
      <c r="G39" s="13">
        <f>IF(E39=0,"",F39/E39-1)</f>
        <v>-0.11526233509759043</v>
      </c>
      <c r="H39" s="12">
        <v>47</v>
      </c>
      <c r="I39" s="14">
        <v>52</v>
      </c>
      <c r="J39" s="14">
        <v>47.5</v>
      </c>
      <c r="K39" s="14">
        <f>J39-H39</f>
        <v>0.5</v>
      </c>
      <c r="L39" s="12">
        <v>2</v>
      </c>
      <c r="M39" s="12">
        <v>136</v>
      </c>
      <c r="N39" s="13">
        <f>IF(C39=0,1,L39/C39)</f>
        <v>0.00516795865633075</v>
      </c>
      <c r="O39" s="13">
        <f>IF(C39=0,0,M39/C39)</f>
        <v>0.35142118863049093</v>
      </c>
      <c r="P39" s="5" t="str">
        <f>IF(N39&lt;0.7,"Below 70%",IF(N39&lt;0.8,"Below target","On target"))</f>
        <v>Below 70%</v>
      </c>
    </row>
    <row r="40" spans="1:16">
      <c r="A40" s="5" t="s">
        <v>84</v>
      </c>
      <c r="B40" s="12">
        <v>193.9821434542738</v>
      </c>
      <c r="C40" s="12">
        <v>359</v>
      </c>
      <c r="D40" s="13">
        <f>IF(B40=0,"",C40/B40-1)</f>
        <v>0.8506858085348705</v>
      </c>
      <c r="E40" s="12">
        <v>379.9276688124544</v>
      </c>
      <c r="F40" s="12">
        <v>326.2719</v>
      </c>
      <c r="G40" s="13">
        <f>IF(E40=0,"",F40/E40-1)</f>
        <v>-0.14122627335926086</v>
      </c>
      <c r="H40" s="12">
        <v>47</v>
      </c>
      <c r="I40" s="14">
        <v>50</v>
      </c>
      <c r="J40" s="14">
        <v>46.5</v>
      </c>
      <c r="K40" s="14">
        <f>J40-H40</f>
        <v>-0.5</v>
      </c>
      <c r="L40" s="12">
        <v>6</v>
      </c>
      <c r="M40" s="12">
        <v>99</v>
      </c>
      <c r="N40" s="13">
        <f>IF(C40=0,1,L40/C40)</f>
        <v>0.016713091922005572</v>
      </c>
      <c r="O40" s="13">
        <f>IF(C40=0,0,M40/C40)</f>
        <v>0.2757660167130919</v>
      </c>
      <c r="P40" s="5" t="str">
        <f>IF(N40&lt;0.7,"Below 70%",IF(N40&lt;0.8,"Below target","On target"))</f>
        <v>Below 70%</v>
      </c>
    </row>
    <row r="41" spans="1:16">
      <c r="A41" s="5" t="s">
        <v>85</v>
      </c>
      <c r="B41" s="12">
        <v>203.1258035172578</v>
      </c>
      <c r="C41" s="12">
        <v>305</v>
      </c>
      <c r="D41" s="13">
        <f>IF(B41=0,"",C41/B41-1)</f>
        <v>0.5015325218102431</v>
      </c>
      <c r="E41" s="12">
        <v>380.9827984275287</v>
      </c>
      <c r="F41" s="12">
        <v>313.0398</v>
      </c>
      <c r="G41" s="13">
        <f>IF(E41=0,"",F41/E41-1)</f>
        <v>-0.17833613146828964</v>
      </c>
      <c r="H41" s="12">
        <v>50</v>
      </c>
      <c r="I41" s="14">
        <v>52</v>
      </c>
      <c r="J41" s="14">
        <v>49.16666666666666</v>
      </c>
      <c r="K41" s="14">
        <f>J41-H41</f>
        <v>-0.8333333333333357</v>
      </c>
      <c r="L41" s="12">
        <v>134</v>
      </c>
      <c r="M41" s="12">
        <v>31</v>
      </c>
      <c r="N41" s="13">
        <f>IF(C41=0,1,L41/C41)</f>
        <v>0.43934426229508194</v>
      </c>
      <c r="O41" s="13">
        <f>IF(C41=0,0,M41/C41)</f>
        <v>0.10163934426229508</v>
      </c>
      <c r="P41" s="5" t="str">
        <f>IF(N41&lt;0.7,"Below 70%",IF(N41&lt;0.8,"Below target","On target"))</f>
        <v>Below 70%</v>
      </c>
    </row>
    <row r="42" spans="1:16">
      <c r="A42" s="5" t="s">
        <v>86</v>
      </c>
      <c r="B42" s="12">
        <v>205.9927873057317</v>
      </c>
      <c r="C42" s="12">
        <v>225</v>
      </c>
      <c r="D42" s="13">
        <f>IF(B42=0,"",C42/B42-1)</f>
        <v>0.09227125348839538</v>
      </c>
      <c r="E42" s="12">
        <v>378.4646411015912</v>
      </c>
      <c r="F42" s="12">
        <v>428.5415</v>
      </c>
      <c r="G42" s="13">
        <f>IF(E42=0,"",F42/E42-1)</f>
        <v>0.13231581886395216</v>
      </c>
      <c r="H42" s="12">
        <v>50</v>
      </c>
      <c r="I42" s="14">
        <v>51</v>
      </c>
      <c r="J42" s="14">
        <v>51.16666666666666</v>
      </c>
      <c r="K42" s="14">
        <f>J42-H42</f>
        <v>1.1666666666666643</v>
      </c>
      <c r="L42" s="12">
        <v>116</v>
      </c>
      <c r="M42" s="12">
        <v>18</v>
      </c>
      <c r="N42" s="13">
        <f>IF(C42=0,1,L42/C42)</f>
        <v>0.5155555555555555</v>
      </c>
      <c r="O42" s="13">
        <f>IF(C42=0,0,M42/C42)</f>
        <v>0.08</v>
      </c>
      <c r="P42" s="5" t="str">
        <f>IF(N42&lt;0.7,"Below 70%",IF(N42&lt;0.8,"Below target","On target"))</f>
        <v>Below 70%</v>
      </c>
    </row>
    <row r="43" spans="1:16">
      <c r="A43" s="5" t="s">
        <v>87</v>
      </c>
      <c r="B43" s="12">
        <v>206.1718849408723</v>
      </c>
      <c r="C43" s="12">
        <v>203</v>
      </c>
      <c r="D43" s="13">
        <f>IF(B43=0,"",C43/B43-1)</f>
        <v>-0.015384662859254217</v>
      </c>
      <c r="E43" s="12">
        <v>380.3675907018524</v>
      </c>
      <c r="F43" s="12">
        <v>387.7301</v>
      </c>
      <c r="G43" s="13">
        <f>IF(E43=0,"",F43/E43-1)</f>
        <v>0.019356300268806637</v>
      </c>
      <c r="H43" s="12">
        <v>50</v>
      </c>
      <c r="I43" s="14">
        <v>54</v>
      </c>
      <c r="J43" s="14">
        <v>52.83333333333334</v>
      </c>
      <c r="K43" s="14">
        <f>J43-H43</f>
        <v>2.8333333333333357</v>
      </c>
      <c r="L43" s="12">
        <v>195</v>
      </c>
      <c r="M43" s="12">
        <v>3</v>
      </c>
      <c r="N43" s="13">
        <f>IF(C43=0,1,L43/C43)</f>
        <v>0.9605911330049262</v>
      </c>
      <c r="O43" s="13">
        <f>IF(C43=0,0,M43/C43)</f>
        <v>0.014778325123152709</v>
      </c>
      <c r="P43" s="5" t="str">
        <f>IF(N43&lt;0.7,"Below 70%",IF(N43&lt;0.8,"Below target","On target"))</f>
        <v>On target</v>
      </c>
    </row>
    <row r="44" spans="1:16">
      <c r="A44" s="5" t="s">
        <v>88</v>
      </c>
      <c r="B44" s="12">
        <v>214.8069710808849</v>
      </c>
      <c r="C44" s="12">
        <v>208</v>
      </c>
      <c r="D44" s="13">
        <f>IF(B44=0,"",C44/B44-1)</f>
        <v>-0.03168878107927797</v>
      </c>
      <c r="E44" s="12">
        <v>382.4567912961137</v>
      </c>
      <c r="F44" s="12">
        <v>387.6853</v>
      </c>
      <c r="G44" s="13">
        <f>IF(E44=0,"",F44/E44-1)</f>
        <v>0.013670848113762846</v>
      </c>
      <c r="H44" s="12">
        <v>52</v>
      </c>
      <c r="I44" s="14">
        <v>58</v>
      </c>
      <c r="J44" s="14">
        <v>55.33333333333334</v>
      </c>
      <c r="K44" s="14">
        <f>J44-H44</f>
        <v>3.3333333333333357</v>
      </c>
      <c r="L44" s="12">
        <v>202</v>
      </c>
      <c r="M44" s="12">
        <v>3</v>
      </c>
      <c r="N44" s="13">
        <f>IF(C44=0,1,L44/C44)</f>
        <v>0.9711538461538461</v>
      </c>
      <c r="O44" s="13">
        <f>IF(C44=0,0,M44/C44)</f>
        <v>0.014423076923076924</v>
      </c>
      <c r="P44" s="5" t="str">
        <f>IF(N44&lt;0.7,"Below 70%",IF(N44&lt;0.8,"Below target","On target"))</f>
        <v>On target</v>
      </c>
    </row>
    <row r="45" spans="1:16">
      <c r="A45" s="5" t="s">
        <v>89</v>
      </c>
      <c r="B45" s="12">
        <v>216.3759032534905</v>
      </c>
      <c r="C45" s="12">
        <v>219</v>
      </c>
      <c r="D45" s="13">
        <f>IF(B45=0,"",C45/B45-1)</f>
        <v>0.012127490663483398</v>
      </c>
      <c r="E45" s="12">
        <v>383.4367766077488</v>
      </c>
      <c r="F45" s="12">
        <v>363.9424</v>
      </c>
      <c r="G45" s="13">
        <f>IF(E45=0,"",F45/E45-1)</f>
        <v>-0.050841175904447256</v>
      </c>
      <c r="H45" s="12">
        <v>53</v>
      </c>
      <c r="I45" s="14">
        <v>55</v>
      </c>
      <c r="J45" s="14">
        <v>52.83333333333334</v>
      </c>
      <c r="K45" s="14">
        <f>J45-H45</f>
        <v>-0.1666666666666643</v>
      </c>
      <c r="L45" s="12">
        <v>206</v>
      </c>
      <c r="M45" s="12">
        <v>0</v>
      </c>
      <c r="N45" s="13">
        <f>IF(C45=0,1,L45/C45)</f>
        <v>0.9406392694063926</v>
      </c>
      <c r="O45" s="13">
        <f>IF(C45=0,0,M45/C45)</f>
        <v>0.0</v>
      </c>
      <c r="P45" s="5" t="str">
        <f>IF(N45&lt;0.7,"Below 70%",IF(N45&lt;0.8,"Below target","On target"))</f>
        <v>On target</v>
      </c>
    </row>
    <row r="46" spans="1:16">
      <c r="A46" s="5" t="s">
        <v>90</v>
      </c>
      <c r="B46" s="12">
        <v>207.7163701872411</v>
      </c>
      <c r="C46" s="12">
        <v>212</v>
      </c>
      <c r="D46" s="13">
        <f>IF(B46=0,"",C46/B46-1)</f>
        <v>0.02062249503444291</v>
      </c>
      <c r="E46" s="12">
        <v>384.0916191038216</v>
      </c>
      <c r="F46" s="12">
        <v>371.3989</v>
      </c>
      <c r="G46" s="13">
        <f>IF(E46=0,"",F46/E46-1)</f>
        <v>-0.03304607149053851</v>
      </c>
      <c r="H46" s="12">
        <v>51</v>
      </c>
      <c r="I46" s="14">
        <v>54</v>
      </c>
      <c r="J46" s="14">
        <v>51.66666666666666</v>
      </c>
      <c r="K46" s="14">
        <f>J46-H46</f>
        <v>0.6666666666666643</v>
      </c>
      <c r="L46" s="12">
        <v>197</v>
      </c>
      <c r="M46" s="12">
        <v>6</v>
      </c>
      <c r="N46" s="13">
        <f>IF(C46=0,1,L46/C46)</f>
        <v>0.9292452830188679</v>
      </c>
      <c r="O46" s="13">
        <f>IF(C46=0,0,M46/C46)</f>
        <v>0.02830188679245283</v>
      </c>
      <c r="P46" s="5" t="str">
        <f>IF(N46&lt;0.7,"Below 70%",IF(N46&lt;0.8,"Below target","On target"))</f>
        <v>On target</v>
      </c>
    </row>
    <row r="47" spans="1:16">
      <c r="A47" s="5" t="s">
        <v>91</v>
      </c>
      <c r="B47" s="12">
        <v>197.4236120217847</v>
      </c>
      <c r="C47" s="12">
        <v>204</v>
      </c>
      <c r="D47" s="13">
        <f>IF(B47=0,"",C47/B47-1)</f>
        <v>0.03331105084578034</v>
      </c>
      <c r="E47" s="12">
        <v>386.5590885033283</v>
      </c>
      <c r="F47" s="12">
        <v>377.3799</v>
      </c>
      <c r="G47" s="13">
        <f>IF(E47=0,"",F47/E47-1)</f>
        <v>-0.023745887178252878</v>
      </c>
      <c r="H47" s="12">
        <v>49</v>
      </c>
      <c r="I47" s="14">
        <v>52</v>
      </c>
      <c r="J47" s="14">
        <v>50.16666666666666</v>
      </c>
      <c r="K47" s="14">
        <f>J47-H47</f>
        <v>1.1666666666666643</v>
      </c>
      <c r="L47" s="12">
        <v>181</v>
      </c>
      <c r="M47" s="12">
        <v>3</v>
      </c>
      <c r="N47" s="13">
        <f>IF(C47=0,1,L47/C47)</f>
        <v>0.8872549019607843</v>
      </c>
      <c r="O47" s="13">
        <f>IF(C47=0,0,M47/C47)</f>
        <v>0.014705882352941176</v>
      </c>
      <c r="P47" s="5" t="str">
        <f>IF(N47&lt;0.7,"Below 70%",IF(N47&lt;0.8,"Below target","On target"))</f>
        <v>On target</v>
      </c>
    </row>
    <row r="48" spans="1:16">
      <c r="A48" s="5" t="s">
        <v>92</v>
      </c>
      <c r="B48" s="12">
        <v>182.6040473082839</v>
      </c>
      <c r="C48" s="12">
        <v>190</v>
      </c>
      <c r="D48" s="13">
        <f>IF(B48=0,"",C48/B48-1)</f>
        <v>0.04050267669713681</v>
      </c>
      <c r="E48" s="12">
        <v>390.58323759208</v>
      </c>
      <c r="F48" s="12">
        <v>385.928</v>
      </c>
      <c r="G48" s="13">
        <f>IF(E48=0,"",F48/E48-1)</f>
        <v>-0.011918682483096799</v>
      </c>
      <c r="H48" s="12">
        <v>46</v>
      </c>
      <c r="I48" s="14">
        <v>48</v>
      </c>
      <c r="J48" s="14">
        <v>46.66666666666666</v>
      </c>
      <c r="K48" s="14">
        <f>J48-H48</f>
        <v>0.6666666666666643</v>
      </c>
      <c r="L48" s="12">
        <v>179</v>
      </c>
      <c r="M48" s="12">
        <v>1</v>
      </c>
      <c r="N48" s="13">
        <f>IF(C48=0,1,L48/C48)</f>
        <v>0.9421052631578948</v>
      </c>
      <c r="O48" s="13">
        <f>IF(C48=0,0,M48/C48)</f>
        <v>0.005263157894736842</v>
      </c>
      <c r="P48" s="5" t="str">
        <f>IF(N48&lt;0.7,"Below 70%",IF(N48&lt;0.8,"Below target","On target"))</f>
        <v>On target</v>
      </c>
    </row>
    <row r="49" spans="1:16">
      <c r="A49" s="5" t="s">
        <v>93</v>
      </c>
      <c r="B49" s="12">
        <v>159.0762447289087</v>
      </c>
      <c r="C49" s="12">
        <v>175</v>
      </c>
      <c r="D49" s="13">
        <f>IF(B49=0,"",C49/B49-1)</f>
        <v>0.10010140293560443</v>
      </c>
      <c r="E49" s="12">
        <v>392.8277289490582</v>
      </c>
      <c r="F49" s="12">
        <v>372.8904</v>
      </c>
      <c r="G49" s="13">
        <f>IF(E49=0,"",F49/E49-1)</f>
        <v>-0.0507533645916417</v>
      </c>
      <c r="H49" s="12">
        <v>41</v>
      </c>
      <c r="I49" s="14">
        <v>41</v>
      </c>
      <c r="J49" s="14">
        <v>39.16666666666666</v>
      </c>
      <c r="K49" s="14">
        <f>J49-H49</f>
        <v>-1.8333333333333357</v>
      </c>
      <c r="L49" s="12">
        <v>133</v>
      </c>
      <c r="M49" s="12">
        <v>6</v>
      </c>
      <c r="N49" s="13">
        <f>IF(C49=0,1,L49/C49)</f>
        <v>0.76</v>
      </c>
      <c r="O49" s="13">
        <f>IF(C49=0,0,M49/C49)</f>
        <v>0.03428571428571429</v>
      </c>
      <c r="P49" s="5" t="str">
        <f>IF(N49&lt;0.7,"Below 70%",IF(N49&lt;0.8,"Below target","On target"))</f>
        <v>Below target</v>
      </c>
    </row>
    <row r="50" spans="1:16">
      <c r="A50" s="5" t="s">
        <v>94</v>
      </c>
      <c r="B50" s="12">
        <v>132.3127057033837</v>
      </c>
      <c r="C50" s="12">
        <v>140</v>
      </c>
      <c r="D50" s="13">
        <f>IF(B50=0,"",C50/B50-1)</f>
        <v>0.05809944143874968</v>
      </c>
      <c r="E50" s="12">
        <v>395.9880674789543</v>
      </c>
      <c r="F50" s="12">
        <v>381.8021</v>
      </c>
      <c r="G50" s="13">
        <f>IF(E50=0,"",F50/E50-1)</f>
        <v>-0.03582422967759835</v>
      </c>
      <c r="H50" s="12">
        <v>35</v>
      </c>
      <c r="I50" s="14">
        <v>38</v>
      </c>
      <c r="J50" s="14">
        <v>36.5</v>
      </c>
      <c r="K50" s="14">
        <f>J50-H50</f>
        <v>1.5</v>
      </c>
      <c r="L50" s="12">
        <v>125</v>
      </c>
      <c r="M50" s="12">
        <v>0</v>
      </c>
      <c r="N50" s="13">
        <f>IF(C50=0,1,L50/C50)</f>
        <v>0.8928571428571429</v>
      </c>
      <c r="O50" s="13">
        <f>IF(C50=0,0,M50/C50)</f>
        <v>0.0</v>
      </c>
      <c r="P50" s="5" t="str">
        <f>IF(N50&lt;0.7,"Below 70%",IF(N50&lt;0.8,"Below target","On target"))</f>
        <v>On target</v>
      </c>
    </row>
    <row r="51" spans="1:16">
      <c r="A51" s="5" t="s">
        <v>95</v>
      </c>
      <c r="B51" s="12">
        <v>109.627739047233</v>
      </c>
      <c r="C51" s="12">
        <v>101</v>
      </c>
      <c r="D51" s="13">
        <f>IF(B51=0,"",C51/B51-1)</f>
        <v>-0.07870032824006101</v>
      </c>
      <c r="E51" s="12">
        <v>400.6986455233097</v>
      </c>
      <c r="F51" s="12">
        <v>348.976</v>
      </c>
      <c r="G51" s="13">
        <f>IF(E51=0,"",F51/E51-1)</f>
        <v>-0.12908115887379712</v>
      </c>
      <c r="H51" s="12">
        <v>30</v>
      </c>
      <c r="I51" s="14">
        <v>31</v>
      </c>
      <c r="J51" s="14">
        <v>30.16666666666667</v>
      </c>
      <c r="K51" s="14">
        <f>J51-H51</f>
        <v>0.16666666666666785</v>
      </c>
      <c r="L51" s="12">
        <v>100</v>
      </c>
      <c r="M51" s="12">
        <v>0</v>
      </c>
      <c r="N51" s="13">
        <f>IF(C51=0,1,L51/C51)</f>
        <v>0.9900990099009901</v>
      </c>
      <c r="O51" s="13">
        <f>IF(C51=0,0,M51/C51)</f>
        <v>0.0</v>
      </c>
      <c r="P51" s="5" t="str">
        <f>IF(N51&lt;0.7,"Below 70%",IF(N51&lt;0.8,"Below target","On target"))</f>
        <v>On target</v>
      </c>
    </row>
    <row r="52" spans="1:16">
      <c r="A52" s="5" t="s">
        <v>96</v>
      </c>
      <c r="B52" s="12">
        <v>87.94930153766676</v>
      </c>
      <c r="C52" s="12">
        <v>109</v>
      </c>
      <c r="D52" s="13">
        <f>IF(B52=0,"",C52/B52-1)</f>
        <v>0.2393503767999532</v>
      </c>
      <c r="E52" s="12">
        <v>406.3751591207941</v>
      </c>
      <c r="F52" s="12">
        <v>407.9693</v>
      </c>
      <c r="G52" s="13">
        <f>IF(E52=0,"",F52/E52-1)</f>
        <v>0.0039228305259968455</v>
      </c>
      <c r="H52" s="12">
        <v>25</v>
      </c>
      <c r="I52" s="14">
        <v>25</v>
      </c>
      <c r="J52" s="14">
        <v>24</v>
      </c>
      <c r="K52" s="14">
        <f>J52-H52</f>
        <v>-1.0</v>
      </c>
      <c r="L52" s="12">
        <v>61</v>
      </c>
      <c r="M52" s="12">
        <v>8</v>
      </c>
      <c r="N52" s="13">
        <f>IF(C52=0,1,L52/C52)</f>
        <v>0.5596330275229358</v>
      </c>
      <c r="O52" s="13">
        <f>IF(C52=0,0,M52/C52)</f>
        <v>0.07339449541284404</v>
      </c>
      <c r="P52" s="5" t="str">
        <f>IF(N52&lt;0.7,"Below 70%",IF(N52&lt;0.8,"Below target","On target"))</f>
        <v>Below 70%</v>
      </c>
    </row>
    <row r="53" spans="1:16">
      <c r="A53" s="15" t="s">
        <v>97</v>
      </c>
      <c r="B53" s="15">
        <f>SUM(B5:B52)</f>
        <v>5599.656873060075</v>
      </c>
      <c r="C53" s="15">
        <f>SUM(C5:C52)</f>
        <v>7594.0</v>
      </c>
      <c r="D53" s="16">
        <f>C53/B53-1</f>
        <v>0.3561545237771089</v>
      </c>
      <c r="F53" s="15">
        <f>SUMPRODUCT(F5:F52,C5:C52)/C53</f>
        <v>354.9682820384514</v>
      </c>
      <c r="L53" s="15">
        <f>SUM(L5:L52)</f>
        <v>3700.0</v>
      </c>
      <c r="M53" s="15">
        <f>SUM(M5:M52)</f>
        <v>1517.0</v>
      </c>
      <c r="N53" s="16">
        <f>L53/C53</f>
        <v>0.4872267579668159</v>
      </c>
      <c r="O53" s="16">
        <f>M53/C53</f>
        <v>0.19976297076639452</v>
      </c>
    </row>
  </sheetData>
  <autoFilter ref="A4:P52"/>
  <conditionalFormatting sqref="K5:K52">
    <cfRule type="cellIs" dxfId="1" priority="3" operator="lessThan">
      <formula>0</formula>
    </cfRule>
  </conditionalFormatting>
  <conditionalFormatting sqref="N5:N52">
    <cfRule type="cellIs" dxfId="1" priority="1" operator="lessThan">
      <formula>0.7</formula>
    </cfRule>
    <cfRule type="cellIs" dxfId="2" priority="2" operator="between">
      <formula>0.7</formula>
      <formula>0.7999999990000001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cols>
    <col min="1" max="1" width="28.7109375" customWidth="1"/>
    <col min="2" max="2" width="12.7109375" customWidth="1"/>
    <col min="3" max="3" width="16.7109375" customWidth="1"/>
    <col min="4" max="4" width="14.7109375" customWidth="1"/>
    <col min="5" max="5" width="12.7109375" customWidth="1"/>
    <col min="6" max="6" width="16.7109375" customWidth="1"/>
  </cols>
  <sheetData>
    <row r="1" spans="1:3">
      <c r="A1" s="1" t="s">
        <v>98</v>
      </c>
    </row>
    <row r="2" spans="1:3">
      <c r="A2" s="2" t="s">
        <v>99</v>
      </c>
    </row>
    <row r="4" spans="1:3">
      <c r="A4" s="3" t="s">
        <v>100</v>
      </c>
      <c r="B4" s="3" t="s">
        <v>101</v>
      </c>
      <c r="C4" s="3" t="s">
        <v>102</v>
      </c>
    </row>
    <row r="5" spans="1:3">
      <c r="A5" s="5" t="s">
        <v>103</v>
      </c>
      <c r="B5" s="5" t="s">
        <v>102</v>
      </c>
      <c r="C5" s="8">
        <v>0.081</v>
      </c>
    </row>
    <row r="6" spans="1:3">
      <c r="A6" s="5" t="s">
        <v>104</v>
      </c>
      <c r="B6" s="5" t="s">
        <v>102</v>
      </c>
      <c r="C6" s="8">
        <v>0.025</v>
      </c>
    </row>
    <row r="7" spans="1:3">
      <c r="A7" s="5" t="s">
        <v>105</v>
      </c>
      <c r="B7" s="5" t="s">
        <v>102</v>
      </c>
      <c r="C7" s="8">
        <v>0.02</v>
      </c>
    </row>
    <row r="8" spans="1:3">
      <c r="A8" s="5" t="s">
        <v>106</v>
      </c>
      <c r="B8" s="5" t="s">
        <v>102</v>
      </c>
      <c r="C8" s="8">
        <v>0.01</v>
      </c>
    </row>
    <row r="9" spans="1:3">
      <c r="A9" s="5" t="s">
        <v>107</v>
      </c>
      <c r="B9" s="5" t="s">
        <v>108</v>
      </c>
      <c r="C9" s="8">
        <v>0.04</v>
      </c>
    </row>
    <row r="10" spans="1:3">
      <c r="A10" s="5" t="s">
        <v>109</v>
      </c>
      <c r="B10" s="5" t="s">
        <v>108</v>
      </c>
      <c r="C10" s="8">
        <v>0.03</v>
      </c>
    </row>
    <row r="11" spans="1:3">
      <c r="A11" s="5" t="s">
        <v>110</v>
      </c>
      <c r="B11" s="5" t="s">
        <v>108</v>
      </c>
      <c r="C11" s="8">
        <v>0.015</v>
      </c>
    </row>
    <row r="12" spans="1:3">
      <c r="A12" s="6" t="s">
        <v>111</v>
      </c>
      <c r="C12" s="11">
        <f>1-EXP(SUMPRODUCT(LN(1-C5:C11)))</f>
        <v>0.20262870872343997</v>
      </c>
    </row>
    <row r="13" spans="1:3">
      <c r="A13" s="6" t="s">
        <v>112</v>
      </c>
      <c r="C13" s="13">
        <f>SUM(C5:C11)</f>
        <v>0.221</v>
      </c>
    </row>
    <row r="14" spans="1:3">
      <c r="A14" s="6" t="s">
        <v>113</v>
      </c>
      <c r="C14" s="13">
        <f>1-EXP(SUMPRODUCT((B5:B11="Unplanned")*LN(1-C5:C11)))</f>
        <v>0.08276800000000006</v>
      </c>
    </row>
    <row r="16" spans="1:3">
      <c r="A16" s="6" t="s">
        <v>114</v>
      </c>
    </row>
    <row r="17" spans="1:6">
      <c r="A17" s="3" t="s">
        <v>115</v>
      </c>
      <c r="B17" s="3" t="s">
        <v>116</v>
      </c>
      <c r="C17" s="3" t="s">
        <v>117</v>
      </c>
      <c r="D17" s="3" t="s">
        <v>118</v>
      </c>
      <c r="E17" s="3" t="s">
        <v>119</v>
      </c>
      <c r="F17" s="3" t="s">
        <v>120</v>
      </c>
    </row>
    <row r="18" spans="1:6">
      <c r="A18" s="5" t="s">
        <v>121</v>
      </c>
      <c r="B18" s="5" t="s">
        <v>122</v>
      </c>
      <c r="C18" s="12">
        <v>3873.5</v>
      </c>
      <c r="D18" s="12">
        <v>3573</v>
      </c>
      <c r="E18" s="12">
        <f>C18-D18</f>
        <v>300.5</v>
      </c>
      <c r="F18" s="13">
        <f>1-D18/C18</f>
        <v>0.07757841745191685</v>
      </c>
    </row>
    <row r="19" spans="1:6">
      <c r="A19" s="5" t="s">
        <v>121</v>
      </c>
      <c r="B19" s="5" t="s">
        <v>123</v>
      </c>
      <c r="C19" s="12">
        <v>5265</v>
      </c>
      <c r="D19" s="12">
        <v>4844</v>
      </c>
      <c r="E19" s="12">
        <f>C19-D19</f>
        <v>421.0</v>
      </c>
      <c r="F19" s="13">
        <f>1-D19/C19</f>
        <v>0.07996201329534658</v>
      </c>
    </row>
    <row r="20" spans="1:6">
      <c r="A20" s="5" t="s">
        <v>121</v>
      </c>
      <c r="B20" s="5" t="s">
        <v>124</v>
      </c>
      <c r="C20" s="12">
        <v>1285.5</v>
      </c>
      <c r="D20" s="12">
        <v>1181.5</v>
      </c>
      <c r="E20" s="12">
        <f>C20-D20</f>
        <v>104.0</v>
      </c>
      <c r="F20" s="13">
        <f>1-D20/C20</f>
        <v>0.08090237261765854</v>
      </c>
    </row>
    <row r="21" spans="1:6">
      <c r="A21" s="5" t="s">
        <v>121</v>
      </c>
      <c r="B21" s="5" t="s">
        <v>125</v>
      </c>
      <c r="C21" s="12">
        <v>2125</v>
      </c>
      <c r="D21" s="12">
        <v>1947.5</v>
      </c>
      <c r="E21" s="12">
        <f>C21-D21</f>
        <v>177.5</v>
      </c>
      <c r="F21" s="13">
        <f>1-D21/C21</f>
        <v>0.08352941176470585</v>
      </c>
    </row>
    <row r="22" spans="1:6">
      <c r="A22" s="5" t="s">
        <v>126</v>
      </c>
      <c r="B22" s="5" t="s">
        <v>122</v>
      </c>
      <c r="C22" s="12">
        <v>3609</v>
      </c>
      <c r="D22" s="12">
        <v>3329</v>
      </c>
      <c r="E22" s="12">
        <f>C22-D22</f>
        <v>280.0</v>
      </c>
      <c r="F22" s="13">
        <f>1-D22/C22</f>
        <v>0.07758381823219729</v>
      </c>
    </row>
    <row r="23" spans="1:6">
      <c r="A23" s="5" t="s">
        <v>126</v>
      </c>
      <c r="B23" s="5" t="s">
        <v>123</v>
      </c>
      <c r="C23" s="12">
        <v>5173.5</v>
      </c>
      <c r="D23" s="12">
        <v>4794.5</v>
      </c>
      <c r="E23" s="12">
        <f>C23-D23</f>
        <v>379.0</v>
      </c>
      <c r="F23" s="13">
        <f>1-D23/C23</f>
        <v>0.07325794916400885</v>
      </c>
    </row>
    <row r="24" spans="1:6">
      <c r="A24" s="5" t="s">
        <v>126</v>
      </c>
      <c r="B24" s="5" t="s">
        <v>124</v>
      </c>
      <c r="C24" s="12">
        <v>1279</v>
      </c>
      <c r="D24" s="12">
        <v>1184</v>
      </c>
      <c r="E24" s="12">
        <f>C24-D24</f>
        <v>95.0</v>
      </c>
      <c r="F24" s="13">
        <f>1-D24/C24</f>
        <v>0.07427677873338545</v>
      </c>
    </row>
    <row r="25" spans="1:6">
      <c r="A25" s="5" t="s">
        <v>126</v>
      </c>
      <c r="B25" s="5" t="s">
        <v>125</v>
      </c>
      <c r="C25" s="12">
        <v>2096</v>
      </c>
      <c r="D25" s="12">
        <v>1928.5</v>
      </c>
      <c r="E25" s="12">
        <f>C25-D25</f>
        <v>167.5</v>
      </c>
      <c r="F25" s="13">
        <f>1-D25/C25</f>
        <v>0.07991412213740456</v>
      </c>
    </row>
    <row r="26" spans="1:6">
      <c r="A26" s="5" t="s">
        <v>127</v>
      </c>
      <c r="B26" s="5" t="s">
        <v>122</v>
      </c>
      <c r="C26" s="12">
        <v>3677</v>
      </c>
      <c r="D26" s="12">
        <v>3393</v>
      </c>
      <c r="E26" s="12">
        <f>C26-D26</f>
        <v>284.0</v>
      </c>
      <c r="F26" s="13">
        <f>1-D26/C26</f>
        <v>0.07723687788958389</v>
      </c>
    </row>
    <row r="27" spans="1:6">
      <c r="A27" s="5" t="s">
        <v>127</v>
      </c>
      <c r="B27" s="5" t="s">
        <v>123</v>
      </c>
      <c r="C27" s="12">
        <v>5330.5</v>
      </c>
      <c r="D27" s="12">
        <v>4947.5</v>
      </c>
      <c r="E27" s="12">
        <f>C27-D27</f>
        <v>383.0</v>
      </c>
      <c r="F27" s="13">
        <f>1-D27/C27</f>
        <v>0.0718506706687928</v>
      </c>
    </row>
    <row r="28" spans="1:6">
      <c r="A28" s="5" t="s">
        <v>127</v>
      </c>
      <c r="B28" s="5" t="s">
        <v>124</v>
      </c>
      <c r="C28" s="12">
        <v>1300</v>
      </c>
      <c r="D28" s="12">
        <v>1208.5</v>
      </c>
      <c r="E28" s="12">
        <f>C28-D28</f>
        <v>91.5</v>
      </c>
      <c r="F28" s="13">
        <f>1-D28/C28</f>
        <v>0.07038461538461538</v>
      </c>
    </row>
    <row r="29" spans="1:6">
      <c r="A29" s="5" t="s">
        <v>127</v>
      </c>
      <c r="B29" s="5" t="s">
        <v>125</v>
      </c>
      <c r="C29" s="12">
        <v>2039.5</v>
      </c>
      <c r="D29" s="12">
        <v>1886</v>
      </c>
      <c r="E29" s="12">
        <f>C29-D29</f>
        <v>153.5</v>
      </c>
      <c r="F29" s="13">
        <f>1-D29/C29</f>
        <v>0.07526354498651633</v>
      </c>
    </row>
    <row r="30" spans="1:6">
      <c r="A30" s="5" t="s">
        <v>128</v>
      </c>
      <c r="B30" s="5" t="s">
        <v>122</v>
      </c>
      <c r="C30" s="12">
        <v>3328.5</v>
      </c>
      <c r="D30" s="12">
        <v>3065</v>
      </c>
      <c r="E30" s="12">
        <f>C30-D30</f>
        <v>263.5</v>
      </c>
      <c r="F30" s="13">
        <f>1-D30/C30</f>
        <v>0.07916478894396872</v>
      </c>
    </row>
    <row r="31" spans="1:6">
      <c r="A31" s="5" t="s">
        <v>128</v>
      </c>
      <c r="B31" s="5" t="s">
        <v>123</v>
      </c>
      <c r="C31" s="12">
        <v>5085.5</v>
      </c>
      <c r="D31" s="12">
        <v>4671</v>
      </c>
      <c r="E31" s="12">
        <f>C31-D31</f>
        <v>414.5</v>
      </c>
      <c r="F31" s="13">
        <f>1-D31/C31</f>
        <v>0.08150624324058597</v>
      </c>
    </row>
    <row r="32" spans="1:6">
      <c r="A32" s="5" t="s">
        <v>128</v>
      </c>
      <c r="B32" s="5" t="s">
        <v>124</v>
      </c>
      <c r="C32" s="12">
        <v>1229.5</v>
      </c>
      <c r="D32" s="12">
        <v>1128.5</v>
      </c>
      <c r="E32" s="12">
        <f>C32-D32</f>
        <v>101.0</v>
      </c>
      <c r="F32" s="13">
        <f>1-D32/C32</f>
        <v>0.08214721431476213</v>
      </c>
    </row>
    <row r="33" spans="1:6">
      <c r="A33" s="5" t="s">
        <v>128</v>
      </c>
      <c r="B33" s="5" t="s">
        <v>125</v>
      </c>
      <c r="C33" s="12">
        <v>2009</v>
      </c>
      <c r="D33" s="12">
        <v>1842.5</v>
      </c>
      <c r="E33" s="12">
        <f>C33-D33</f>
        <v>166.5</v>
      </c>
      <c r="F33" s="13">
        <f>1-D33/C33</f>
        <v>0.08287705326032857</v>
      </c>
    </row>
    <row r="34" spans="1:6">
      <c r="A34" s="5" t="s">
        <v>129</v>
      </c>
      <c r="B34" s="5" t="s">
        <v>122</v>
      </c>
      <c r="C34" s="12">
        <v>4166.5</v>
      </c>
      <c r="D34" s="12">
        <v>3838</v>
      </c>
      <c r="E34" s="12">
        <f>C34-D34</f>
        <v>328.5</v>
      </c>
      <c r="F34" s="13">
        <f>1-D34/C34</f>
        <v>0.07884315372614903</v>
      </c>
    </row>
    <row r="35" spans="1:6">
      <c r="A35" s="5" t="s">
        <v>129</v>
      </c>
      <c r="B35" s="5" t="s">
        <v>123</v>
      </c>
      <c r="C35" s="12">
        <v>5332</v>
      </c>
      <c r="D35" s="12">
        <v>4887.5</v>
      </c>
      <c r="E35" s="12">
        <f>C35-D35</f>
        <v>444.5</v>
      </c>
      <c r="F35" s="13">
        <f>1-D35/C35</f>
        <v>0.08336459114778694</v>
      </c>
    </row>
    <row r="36" spans="1:6">
      <c r="A36" s="5" t="s">
        <v>129</v>
      </c>
      <c r="B36" s="5" t="s">
        <v>124</v>
      </c>
      <c r="C36" s="12">
        <v>1304.5</v>
      </c>
      <c r="D36" s="12">
        <v>1216.5</v>
      </c>
      <c r="E36" s="12">
        <f>C36-D36</f>
        <v>88.0</v>
      </c>
      <c r="F36" s="13">
        <f>1-D36/C36</f>
        <v>0.06745879647374475</v>
      </c>
    </row>
    <row r="37" spans="1:6">
      <c r="A37" s="5" t="s">
        <v>129</v>
      </c>
      <c r="B37" s="5" t="s">
        <v>125</v>
      </c>
      <c r="C37" s="12">
        <v>2123</v>
      </c>
      <c r="D37" s="12">
        <v>1962.5</v>
      </c>
      <c r="E37" s="12">
        <f>C37-D37</f>
        <v>160.5</v>
      </c>
      <c r="F37" s="13">
        <f>1-D37/C37</f>
        <v>0.07560056523787095</v>
      </c>
    </row>
    <row r="38" spans="1:6">
      <c r="A38" s="5" t="s">
        <v>130</v>
      </c>
      <c r="B38" s="5" t="s">
        <v>122</v>
      </c>
      <c r="C38" s="12">
        <v>3626</v>
      </c>
      <c r="D38" s="12">
        <v>3361.5</v>
      </c>
      <c r="E38" s="12">
        <f>C38-D38</f>
        <v>264.5</v>
      </c>
      <c r="F38" s="13">
        <f>1-D38/C38</f>
        <v>0.07294539437396586</v>
      </c>
    </row>
    <row r="39" spans="1:6">
      <c r="A39" s="5" t="s">
        <v>130</v>
      </c>
      <c r="B39" s="5" t="s">
        <v>123</v>
      </c>
      <c r="C39" s="12">
        <v>5405</v>
      </c>
      <c r="D39" s="12">
        <v>5005</v>
      </c>
      <c r="E39" s="12">
        <f>C39-D39</f>
        <v>400.0</v>
      </c>
      <c r="F39" s="13">
        <f>1-D39/C39</f>
        <v>0.07400555041628121</v>
      </c>
    </row>
    <row r="40" spans="1:6">
      <c r="A40" s="5" t="s">
        <v>130</v>
      </c>
      <c r="B40" s="5" t="s">
        <v>124</v>
      </c>
      <c r="C40" s="12">
        <v>1258.5</v>
      </c>
      <c r="D40" s="12">
        <v>1166</v>
      </c>
      <c r="E40" s="12">
        <f>C40-D40</f>
        <v>92.5</v>
      </c>
      <c r="F40" s="13">
        <f>1-D40/C40</f>
        <v>0.07350019864918556</v>
      </c>
    </row>
    <row r="41" spans="1:6">
      <c r="A41" s="5" t="s">
        <v>130</v>
      </c>
      <c r="B41" s="5" t="s">
        <v>125</v>
      </c>
      <c r="C41" s="12">
        <v>2106.5</v>
      </c>
      <c r="D41" s="12">
        <v>1954.5</v>
      </c>
      <c r="E41" s="12">
        <f>C41-D41</f>
        <v>152.0</v>
      </c>
      <c r="F41" s="13">
        <f>1-D41/C41</f>
        <v>0.07215760740564914</v>
      </c>
    </row>
    <row r="42" spans="1:6">
      <c r="A42" s="5" t="s">
        <v>131</v>
      </c>
      <c r="B42" s="5" t="s">
        <v>122</v>
      </c>
      <c r="C42" s="12">
        <v>3629.5</v>
      </c>
      <c r="D42" s="12">
        <v>3367</v>
      </c>
      <c r="E42" s="12">
        <f>C42-D42</f>
        <v>262.5</v>
      </c>
      <c r="F42" s="13">
        <f>1-D42/C42</f>
        <v>0.07232401157184187</v>
      </c>
    </row>
    <row r="43" spans="1:6">
      <c r="A43" s="5" t="s">
        <v>131</v>
      </c>
      <c r="B43" s="5" t="s">
        <v>123</v>
      </c>
      <c r="C43" s="12">
        <v>5073.5</v>
      </c>
      <c r="D43" s="12">
        <v>4701.5</v>
      </c>
      <c r="E43" s="12">
        <f>C43-D43</f>
        <v>372.0</v>
      </c>
      <c r="F43" s="13">
        <f>1-D43/C43</f>
        <v>0.0733221641864591</v>
      </c>
    </row>
    <row r="44" spans="1:6">
      <c r="A44" s="5" t="s">
        <v>131</v>
      </c>
      <c r="B44" s="5" t="s">
        <v>124</v>
      </c>
      <c r="C44" s="12">
        <v>1311</v>
      </c>
      <c r="D44" s="12">
        <v>1212</v>
      </c>
      <c r="E44" s="12">
        <f>C44-D44</f>
        <v>99.0</v>
      </c>
      <c r="F44" s="13">
        <f>1-D44/C44</f>
        <v>0.07551487414187641</v>
      </c>
    </row>
    <row r="45" spans="1:6">
      <c r="A45" s="5" t="s">
        <v>131</v>
      </c>
      <c r="B45" s="5" t="s">
        <v>125</v>
      </c>
      <c r="C45" s="12">
        <v>2111.5</v>
      </c>
      <c r="D45" s="12">
        <v>1946</v>
      </c>
      <c r="E45" s="12">
        <f>C45-D45</f>
        <v>165.5</v>
      </c>
      <c r="F45" s="13">
        <f>1-D45/C45</f>
        <v>0.0783802983660905</v>
      </c>
    </row>
    <row r="46" spans="1:6">
      <c r="A46" s="5" t="s">
        <v>132</v>
      </c>
      <c r="B46" s="5" t="s">
        <v>122</v>
      </c>
      <c r="C46" s="12">
        <v>3601</v>
      </c>
      <c r="D46" s="12">
        <v>3330.5</v>
      </c>
      <c r="E46" s="12">
        <f>C46-D46</f>
        <v>270.5</v>
      </c>
      <c r="F46" s="13">
        <f>1-D46/C46</f>
        <v>0.07511802277145241</v>
      </c>
    </row>
    <row r="47" spans="1:6">
      <c r="A47" s="5" t="s">
        <v>132</v>
      </c>
      <c r="B47" s="5" t="s">
        <v>123</v>
      </c>
      <c r="C47" s="12">
        <v>4766.5</v>
      </c>
      <c r="D47" s="12">
        <v>4415</v>
      </c>
      <c r="E47" s="12">
        <f>C47-D47</f>
        <v>351.5</v>
      </c>
      <c r="F47" s="13">
        <f>1-D47/C47</f>
        <v>0.07374383719710476</v>
      </c>
    </row>
    <row r="48" spans="1:6">
      <c r="A48" s="5" t="s">
        <v>132</v>
      </c>
      <c r="B48" s="5" t="s">
        <v>124</v>
      </c>
      <c r="C48" s="12">
        <v>1207</v>
      </c>
      <c r="D48" s="12">
        <v>1106</v>
      </c>
      <c r="E48" s="12">
        <f>C48-D48</f>
        <v>101.0</v>
      </c>
      <c r="F48" s="13">
        <f>1-D48/C48</f>
        <v>0.08367854183927093</v>
      </c>
    </row>
    <row r="49" spans="1:6">
      <c r="A49" s="5" t="s">
        <v>132</v>
      </c>
      <c r="B49" s="5" t="s">
        <v>125</v>
      </c>
      <c r="C49" s="12">
        <v>1991</v>
      </c>
      <c r="D49" s="12">
        <v>1843</v>
      </c>
      <c r="E49" s="12">
        <f>C49-D49</f>
        <v>148.0</v>
      </c>
      <c r="F49" s="13">
        <f>1-D49/C49</f>
        <v>0.07433450527373175</v>
      </c>
    </row>
  </sheetData>
  <autoFilter ref="A17:F49"/>
  <conditionalFormatting sqref="F18:F49">
    <cfRule type="colorScale" priority="1">
      <colorScale>
        <cfvo type="min" val="0"/>
        <cfvo type="percentile" val="50"/>
        <cfvo type="max" val="0"/>
        <color rgb="FFE3F4E3"/>
        <color rgb="FFFDF0D2"/>
        <color rgb="FFFBE3E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1" width="16.7109375" customWidth="1"/>
    <col min="2" max="2" width="14.7109375" customWidth="1"/>
    <col min="3" max="3" width="18.7109375" customWidth="1"/>
    <col min="4" max="5" width="14.7109375" customWidth="1"/>
    <col min="6" max="6" width="11.7109375" customWidth="1"/>
    <col min="7" max="7" width="10.7109375" customWidth="1"/>
    <col min="8" max="8" width="18.7109375" customWidth="1"/>
  </cols>
  <sheetData>
    <row r="1" spans="1:8">
      <c r="A1" s="1" t="s">
        <v>133</v>
      </c>
    </row>
    <row r="2" spans="1:8">
      <c r="A2" s="2" t="s">
        <v>134</v>
      </c>
    </row>
    <row r="3" spans="1:8">
      <c r="A3" s="6" t="s">
        <v>135</v>
      </c>
      <c r="B3" s="7">
        <v>40</v>
      </c>
    </row>
    <row r="5" spans="1:8">
      <c r="A5" s="3" t="s">
        <v>115</v>
      </c>
      <c r="B5" s="3" t="s">
        <v>136</v>
      </c>
      <c r="C5" s="3" t="s">
        <v>137</v>
      </c>
      <c r="D5" s="3" t="s">
        <v>138</v>
      </c>
      <c r="E5" s="3" t="s">
        <v>139</v>
      </c>
      <c r="F5" s="3" t="s">
        <v>140</v>
      </c>
      <c r="G5" s="3" t="s">
        <v>141</v>
      </c>
      <c r="H5" s="3" t="s">
        <v>142</v>
      </c>
    </row>
    <row r="6" spans="1:8">
      <c r="A6" s="5" t="s">
        <v>143</v>
      </c>
      <c r="B6" s="12">
        <v>33940.99380505157</v>
      </c>
      <c r="C6" s="12">
        <v>4423.5</v>
      </c>
      <c r="D6" s="14">
        <f>C6/(1-Shrinkage!$C$12)/$B$3</f>
        <v>138.69009482766023</v>
      </c>
      <c r="E6" s="14">
        <v>152</v>
      </c>
      <c r="F6" s="14">
        <f>E6-D6</f>
        <v>13.309905172339768</v>
      </c>
      <c r="G6" s="13">
        <f>F6/D6</f>
        <v>0.09596867886548775</v>
      </c>
      <c r="H6" s="12">
        <v>0</v>
      </c>
    </row>
    <row r="7" spans="1:8">
      <c r="A7" s="5" t="s">
        <v>144</v>
      </c>
      <c r="B7" s="12">
        <v>35843.70745039321</v>
      </c>
      <c r="C7" s="12">
        <v>4644.5</v>
      </c>
      <c r="D7" s="14">
        <f>C7/(1-Shrinkage!$C$12)/$B$3</f>
        <v>145.6191127901137</v>
      </c>
      <c r="E7" s="14">
        <v>150.7554314484576</v>
      </c>
      <c r="F7" s="14">
        <f>E7-D7</f>
        <v>5.136318658343924</v>
      </c>
      <c r="G7" s="13">
        <f>F7/D7</f>
        <v>0.03527228369909858</v>
      </c>
      <c r="H7" s="12">
        <v>0</v>
      </c>
    </row>
    <row r="8" spans="1:8">
      <c r="A8" s="5" t="s">
        <v>145</v>
      </c>
      <c r="B8" s="12">
        <v>35971.07264030149</v>
      </c>
      <c r="C8" s="12">
        <v>4658.5</v>
      </c>
      <c r="D8" s="14">
        <f>C8/(1-Shrinkage!$C$12)/$B$3</f>
        <v>146.05805510447726</v>
      </c>
      <c r="E8" s="14">
        <v>149.5210533632277</v>
      </c>
      <c r="F8" s="14">
        <f>E8-D8</f>
        <v>3.4629982587504173</v>
      </c>
      <c r="G8" s="13">
        <f>F8/D8</f>
        <v>0.02370973826998647</v>
      </c>
      <c r="H8" s="12">
        <v>0</v>
      </c>
    </row>
    <row r="9" spans="1:8">
      <c r="A9" s="5" t="s">
        <v>146</v>
      </c>
      <c r="B9" s="12">
        <v>36095.90488416424</v>
      </c>
      <c r="C9" s="12">
        <v>4676.5</v>
      </c>
      <c r="D9" s="14">
        <f>C9/(1-Shrinkage!$C$12)/$B$3</f>
        <v>146.62240950865902</v>
      </c>
      <c r="E9" s="14">
        <v>148.2967823052713</v>
      </c>
      <c r="F9" s="14">
        <f>E9-D9</f>
        <v>1.6743727966123174</v>
      </c>
      <c r="G9" s="13">
        <f>F9/D9</f>
        <v>0.011419624068539363</v>
      </c>
      <c r="H9" s="12">
        <v>0</v>
      </c>
    </row>
    <row r="10" spans="1:8">
      <c r="A10" s="5" t="s">
        <v>147</v>
      </c>
      <c r="B10" s="12">
        <v>37985.19563959505</v>
      </c>
      <c r="C10" s="12">
        <v>4894.5</v>
      </c>
      <c r="D10" s="14">
        <f>C10/(1-Shrinkage!$C$12)/$B$3</f>
        <v>153.45736840374883</v>
      </c>
      <c r="E10" s="14">
        <v>147.0825355187446</v>
      </c>
      <c r="F10" s="14">
        <f>E10-D10</f>
        <v>-6.374832885004253</v>
      </c>
      <c r="G10" s="13">
        <f>F10/D10</f>
        <v>-0.041541393230672144</v>
      </c>
      <c r="H10" s="12">
        <v>21</v>
      </c>
    </row>
    <row r="11" spans="1:8">
      <c r="A11" s="5" t="s">
        <v>148</v>
      </c>
      <c r="B11" s="12">
        <v>37140.84437089886</v>
      </c>
      <c r="C11" s="12">
        <v>4796.5</v>
      </c>
      <c r="D11" s="14">
        <f>C11/(1-Shrinkage!$C$12)/$B$3</f>
        <v>150.38477220320388</v>
      </c>
      <c r="E11" s="14">
        <v>145.8782309254042</v>
      </c>
      <c r="F11" s="14">
        <f>E11-D11</f>
        <v>-4.506541277799727</v>
      </c>
      <c r="G11" s="13">
        <f>F11/D11</f>
        <v>-0.029966739396395593</v>
      </c>
      <c r="H11" s="12">
        <v>0</v>
      </c>
    </row>
    <row r="12" spans="1:8">
      <c r="A12" s="5" t="s">
        <v>149</v>
      </c>
      <c r="B12" s="12">
        <v>36387.06456027423</v>
      </c>
      <c r="C12" s="12">
        <v>4712</v>
      </c>
      <c r="D12" s="14">
        <f>C12/(1-Shrinkage!$C$12)/$B$3</f>
        <v>147.7354418057952</v>
      </c>
      <c r="E12" s="14">
        <v>144.6837871190594</v>
      </c>
      <c r="F12" s="14">
        <f>E12-D12</f>
        <v>-3.051654686735759</v>
      </c>
      <c r="G12" s="13">
        <f>F12/D12</f>
        <v>-0.020656212547475877</v>
      </c>
      <c r="H12" s="12">
        <v>0</v>
      </c>
    </row>
    <row r="13" spans="1:8">
      <c r="A13" s="5" t="s">
        <v>150</v>
      </c>
      <c r="B13" s="12">
        <v>36722.96238124812</v>
      </c>
      <c r="C13" s="12">
        <v>4750</v>
      </c>
      <c r="D13" s="14">
        <f>C13/(1-Shrinkage!$C$12)/$B$3</f>
        <v>148.9268566590677</v>
      </c>
      <c r="E13" s="14">
        <v>143.4991233600697</v>
      </c>
      <c r="F13" s="14">
        <f>E13-D13</f>
        <v>-5.427733298997964</v>
      </c>
      <c r="G13" s="13">
        <f>F13/D13</f>
        <v>-0.03644563123643613</v>
      </c>
      <c r="H13" s="12">
        <v>0</v>
      </c>
    </row>
    <row r="14" spans="1:8">
      <c r="A14" s="5" t="s">
        <v>151</v>
      </c>
      <c r="B14" s="12">
        <v>38283.28616794996</v>
      </c>
      <c r="C14" s="12">
        <v>4929.5</v>
      </c>
      <c r="D14" s="14">
        <f>C14/(1-Shrinkage!$C$12)/$B$3</f>
        <v>154.55472418965775</v>
      </c>
      <c r="E14" s="14">
        <v>153.0341595698866</v>
      </c>
      <c r="F14" s="14">
        <f>E14-D14</f>
        <v>-1.5205646197711644</v>
      </c>
      <c r="G14" s="13">
        <f>F14/D14</f>
        <v>-0.00983835743451778</v>
      </c>
      <c r="H14" s="12">
        <v>0</v>
      </c>
    </row>
    <row r="15" spans="1:8">
      <c r="A15" s="5" t="s">
        <v>152</v>
      </c>
      <c r="B15" s="12">
        <v>37898.76917734142</v>
      </c>
      <c r="C15" s="12">
        <v>4883.5</v>
      </c>
      <c r="D15" s="14">
        <f>C15/(1-Shrinkage!$C$12)/$B$3</f>
        <v>153.1124851567489</v>
      </c>
      <c r="E15" s="14">
        <v>151.7811233704629</v>
      </c>
      <c r="F15" s="14">
        <f>E15-D15</f>
        <v>-1.3313617862860099</v>
      </c>
      <c r="G15" s="13">
        <f>F15/D15</f>
        <v>-0.008695318248691662</v>
      </c>
      <c r="H15" s="12">
        <v>0</v>
      </c>
    </row>
    <row r="16" spans="1:8">
      <c r="A16" s="5" t="s">
        <v>153</v>
      </c>
      <c r="B16" s="12">
        <v>37846.98345578104</v>
      </c>
      <c r="C16" s="12">
        <v>4877</v>
      </c>
      <c r="D16" s="14">
        <f>C16/(1-Shrinkage!$C$12)/$B$3</f>
        <v>152.9086905107944</v>
      </c>
      <c r="E16" s="14">
        <v>157.5619017135471</v>
      </c>
      <c r="F16" s="14">
        <f>E16-D16</f>
        <v>4.653211202752658</v>
      </c>
      <c r="G16" s="13">
        <f>F16/D16</f>
        <v>0.0304313063384986</v>
      </c>
      <c r="H16" s="12">
        <v>17</v>
      </c>
    </row>
    <row r="17" spans="1:8">
      <c r="A17" s="5" t="s">
        <v>154</v>
      </c>
      <c r="B17" s="12">
        <v>36961.85652174772</v>
      </c>
      <c r="C17" s="12">
        <v>4776</v>
      </c>
      <c r="D17" s="14">
        <f>C17/(1-Shrinkage!$C$12)/$B$3</f>
        <v>149.74203524288578</v>
      </c>
      <c r="E17" s="14">
        <v>156.2717925833241</v>
      </c>
      <c r="F17" s="14">
        <f>E17-D17</f>
        <v>6.529757340438323</v>
      </c>
      <c r="G17" s="13">
        <f>F17/D17</f>
        <v>0.0436067088967161</v>
      </c>
      <c r="H17" s="12">
        <v>0</v>
      </c>
    </row>
    <row r="18" spans="1:8">
      <c r="A18" s="5" t="s">
        <v>155</v>
      </c>
      <c r="B18" s="12">
        <v>37898.02897432102</v>
      </c>
      <c r="C18" s="12">
        <v>4882.5</v>
      </c>
      <c r="D18" s="14">
        <f>C18/(1-Shrinkage!$C$12)/$B$3</f>
        <v>153.08113213429436</v>
      </c>
      <c r="E18" s="14">
        <v>154.9922468034402</v>
      </c>
      <c r="F18" s="14">
        <f>E18-D18</f>
        <v>1.9111146691458316</v>
      </c>
      <c r="G18" s="13">
        <f>F18/D18</f>
        <v>0.01248432541947271</v>
      </c>
      <c r="H18" s="12">
        <v>0</v>
      </c>
    </row>
    <row r="19" spans="1:8">
      <c r="A19" s="5" t="s">
        <v>156</v>
      </c>
      <c r="B19" s="12">
        <v>35878.98172639334</v>
      </c>
      <c r="C19" s="12">
        <v>4648</v>
      </c>
      <c r="D19" s="14">
        <f>C19/(1-Shrinkage!$C$12)/$B$3</f>
        <v>145.7288483687046</v>
      </c>
      <c r="E19" s="14">
        <v>153.7231778817003</v>
      </c>
      <c r="F19" s="14">
        <f>E19-D19</f>
        <v>7.994329512995705</v>
      </c>
      <c r="G19" s="13">
        <f>F19/D19</f>
        <v>0.05485756322433475</v>
      </c>
      <c r="H19" s="12">
        <v>6</v>
      </c>
    </row>
    <row r="20" spans="1:8">
      <c r="A20" s="5" t="s">
        <v>157</v>
      </c>
      <c r="B20" s="12">
        <v>38002.32095212869</v>
      </c>
      <c r="C20" s="12">
        <v>4892</v>
      </c>
      <c r="D20" s="14">
        <f>C20/(1-Shrinkage!$C$12)/$B$3</f>
        <v>153.37898584761248</v>
      </c>
      <c r="E20" s="14">
        <v>161.1345000341035</v>
      </c>
      <c r="F20" s="14">
        <f>E20-D20</f>
        <v>7.755514186491013</v>
      </c>
      <c r="G20" s="13">
        <f>F20/D20</f>
        <v>0.05056438562057252</v>
      </c>
      <c r="H20" s="12">
        <v>0</v>
      </c>
    </row>
    <row r="21" spans="1:8">
      <c r="A21" s="5" t="s">
        <v>158</v>
      </c>
      <c r="B21" s="12">
        <v>37926.04401059368</v>
      </c>
      <c r="C21" s="12">
        <v>4885.5</v>
      </c>
      <c r="D21" s="14">
        <f>C21/(1-Shrinkage!$C$12)/$B$3</f>
        <v>153.17519120165798</v>
      </c>
      <c r="E21" s="14">
        <v>159.8151386438999</v>
      </c>
      <c r="F21" s="14">
        <f>E21-D21</f>
        <v>6.6399474422418905</v>
      </c>
      <c r="G21" s="13">
        <f>F21/D21</f>
        <v>0.04334871326192945</v>
      </c>
      <c r="H21" s="12">
        <v>0</v>
      </c>
    </row>
    <row r="22" spans="1:8">
      <c r="A22" s="5" t="s">
        <v>159</v>
      </c>
      <c r="B22" s="12">
        <v>35337.85082623738</v>
      </c>
      <c r="C22" s="12">
        <v>4582</v>
      </c>
      <c r="D22" s="14">
        <f>C22/(1-Shrinkage!$C$12)/$B$3</f>
        <v>143.65954888670493</v>
      </c>
      <c r="E22" s="14">
        <v>164.1923149124714</v>
      </c>
      <c r="F22" s="14">
        <f>E22-D22</f>
        <v>20.532766025766506</v>
      </c>
      <c r="G22" s="13">
        <f>F22/D22</f>
        <v>0.14292656621078062</v>
      </c>
      <c r="H22" s="12">
        <v>0</v>
      </c>
    </row>
    <row r="23" spans="1:8">
      <c r="A23" s="5" t="s">
        <v>160</v>
      </c>
      <c r="B23" s="12">
        <v>38827.34215830914</v>
      </c>
      <c r="C23" s="12">
        <v>4997.5</v>
      </c>
      <c r="D23" s="14">
        <f>C23/(1-Shrinkage!$C$12)/$B$3</f>
        <v>156.6867297165665</v>
      </c>
      <c r="E23" s="14">
        <v>165.9079162838858</v>
      </c>
      <c r="F23" s="14">
        <f>E23-D23</f>
        <v>9.221186567319336</v>
      </c>
      <c r="G23" s="13">
        <f>F23/D23</f>
        <v>0.05885110107282033</v>
      </c>
      <c r="H23" s="12">
        <v>0</v>
      </c>
    </row>
    <row r="24" spans="1:8">
      <c r="A24" s="5" t="s">
        <v>161</v>
      </c>
      <c r="B24" s="12">
        <v>38550.11005799283</v>
      </c>
      <c r="C24" s="12">
        <v>5249</v>
      </c>
      <c r="D24" s="14">
        <f>C24/(1-Shrinkage!$C$12)/$B$3</f>
        <v>164.57201486388348</v>
      </c>
      <c r="E24" s="14">
        <v>164.5494703953408</v>
      </c>
      <c r="F24" s="14">
        <f>E24-D24</f>
        <v>-0.022544468542690765</v>
      </c>
      <c r="G24" s="13">
        <f>F24/D24</f>
        <v>-0.00013698847013167553</v>
      </c>
      <c r="H24" s="12">
        <v>0</v>
      </c>
    </row>
    <row r="25" spans="1:8">
      <c r="A25" s="5" t="s">
        <v>162</v>
      </c>
      <c r="B25" s="12">
        <v>37897.08160283768</v>
      </c>
      <c r="C25" s="12">
        <v>5231</v>
      </c>
      <c r="D25" s="14">
        <f>C25/(1-Shrinkage!$C$12)/$B$3</f>
        <v>164.00766045970175</v>
      </c>
      <c r="E25" s="14">
        <v>165.2088773218802</v>
      </c>
      <c r="F25" s="14">
        <f>E25-D25</f>
        <v>1.2012168621784554</v>
      </c>
      <c r="G25" s="13">
        <f>F25/D25</f>
        <v>0.007324150950093004</v>
      </c>
      <c r="H25" s="12">
        <v>0</v>
      </c>
    </row>
    <row r="26" spans="1:8">
      <c r="A26" s="5" t="s">
        <v>163</v>
      </c>
      <c r="B26" s="12">
        <v>37863.94963050368</v>
      </c>
      <c r="C26" s="12">
        <v>5226</v>
      </c>
      <c r="D26" s="14">
        <f>C26/(1-Shrinkage!$C$12)/$B$3</f>
        <v>163.85089534742903</v>
      </c>
      <c r="E26" s="14">
        <v>163.856155130101</v>
      </c>
      <c r="F26" s="14">
        <f>E26-D26</f>
        <v>0.005259782671998892</v>
      </c>
      <c r="G26" s="13">
        <f>F26/D26</f>
        <v>3.210103100655057e-05</v>
      </c>
      <c r="H26" s="12">
        <v>0</v>
      </c>
    </row>
    <row r="27" spans="1:8">
      <c r="A27" s="5" t="s">
        <v>164</v>
      </c>
      <c r="B27" s="12">
        <v>39849.48136500036</v>
      </c>
      <c r="C27" s="12">
        <v>5478.5</v>
      </c>
      <c r="D27" s="14">
        <f>C27/(1-Shrinkage!$C$12)/$B$3</f>
        <v>171.76753351720055</v>
      </c>
      <c r="E27" s="14">
        <v>162.5145089613407</v>
      </c>
      <c r="F27" s="14">
        <f>E27-D27</f>
        <v>-9.253024555859895</v>
      </c>
      <c r="G27" s="13">
        <f>F27/D27</f>
        <v>-0.05386946162869196</v>
      </c>
      <c r="H27" s="12">
        <v>0</v>
      </c>
    </row>
    <row r="28" spans="1:8">
      <c r="A28" s="5" t="s">
        <v>165</v>
      </c>
      <c r="B28" s="12">
        <v>31006.89134224117</v>
      </c>
      <c r="C28" s="12">
        <v>4227</v>
      </c>
      <c r="D28" s="14">
        <f>C28/(1-Shrinkage!$C$12)/$B$3</f>
        <v>132.529225915343</v>
      </c>
      <c r="E28" s="14">
        <v>161.1838481256654</v>
      </c>
      <c r="F28" s="14">
        <f>E28-D28</f>
        <v>28.65462221032243</v>
      </c>
      <c r="G28" s="13">
        <f>F28/D28</f>
        <v>0.21621360882788543</v>
      </c>
      <c r="H28" s="12">
        <v>0</v>
      </c>
    </row>
    <row r="29" spans="1:8">
      <c r="A29" s="5" t="s">
        <v>166</v>
      </c>
      <c r="B29" s="12">
        <v>37867.7112019663</v>
      </c>
      <c r="C29" s="12">
        <v>4878.5</v>
      </c>
      <c r="D29" s="14">
        <f>C29/(1-Shrinkage!$C$12)/$B$3</f>
        <v>152.9557200444762</v>
      </c>
      <c r="E29" s="14">
        <v>159.8640826757063</v>
      </c>
      <c r="F29" s="14">
        <f>E29-D29</f>
        <v>6.908362631230119</v>
      </c>
      <c r="G29" s="13">
        <f>F29/D29</f>
        <v>0.04516576842776012</v>
      </c>
      <c r="H29" s="12">
        <v>0</v>
      </c>
    </row>
    <row r="30" spans="1:8">
      <c r="A30" s="5" t="s">
        <v>167</v>
      </c>
      <c r="B30" s="12">
        <v>38226.9734719898</v>
      </c>
      <c r="C30" s="12">
        <v>4915.5</v>
      </c>
      <c r="D30" s="14">
        <f>C30/(1-Shrinkage!$C$12)/$B$3</f>
        <v>154.1157818752942</v>
      </c>
      <c r="E30" s="14">
        <v>158.555123400579</v>
      </c>
      <c r="F30" s="14">
        <f>E30-D30</f>
        <v>4.439341525284789</v>
      </c>
      <c r="G30" s="13">
        <f>F30/D30</f>
        <v>0.02880523637012703</v>
      </c>
      <c r="H30" s="12">
        <v>0</v>
      </c>
    </row>
    <row r="31" spans="1:8">
      <c r="A31" s="5" t="s">
        <v>168</v>
      </c>
      <c r="B31" s="12">
        <v>38218.14306141964</v>
      </c>
      <c r="C31" s="12">
        <v>4922</v>
      </c>
      <c r="D31" s="14">
        <f>C31/(1-Shrinkage!$C$12)/$B$3</f>
        <v>154.3195765212487</v>
      </c>
      <c r="E31" s="14">
        <v>157.2568818198534</v>
      </c>
      <c r="F31" s="14">
        <f>E31-D31</f>
        <v>2.937305298604741</v>
      </c>
      <c r="G31" s="13">
        <f>F31/D31</f>
        <v>0.019033912383762244</v>
      </c>
      <c r="H31" s="12">
        <v>0</v>
      </c>
    </row>
    <row r="32" spans="1:8">
      <c r="A32" s="15" t="s">
        <v>169</v>
      </c>
      <c r="H32" s="15">
        <f>SUM(H6:H31)</f>
        <v>44</v>
      </c>
    </row>
  </sheetData>
  <conditionalFormatting sqref="F6:G31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3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4.7109375" customWidth="1"/>
    <col min="2" max="2" width="11.7109375" customWidth="1"/>
    <col min="3" max="3" width="14.7109375" customWidth="1"/>
    <col min="4" max="4" width="18.7109375" customWidth="1"/>
    <col min="5" max="5" width="12.7109375" customWidth="1"/>
    <col min="6" max="6" width="18.7109375" customWidth="1"/>
    <col min="7" max="7" width="16.7109375" customWidth="1"/>
    <col min="8" max="8" width="13.7109375" customWidth="1"/>
    <col min="9" max="9" width="18.7109375" customWidth="1"/>
    <col min="10" max="10" width="14.7109375" customWidth="1"/>
    <col min="12" max="12" width="11.7109375" customWidth="1"/>
    <col min="13" max="13" width="9.7109375" customWidth="1"/>
    <col min="14" max="14" width="18.7109375" customWidth="1"/>
    <col min="15" max="15" width="20.7109375" customWidth="1"/>
  </cols>
  <sheetData>
    <row r="1" spans="1:15">
      <c r="A1" s="1" t="s">
        <v>170</v>
      </c>
    </row>
    <row r="2" spans="1:15">
      <c r="A2" s="2" t="s">
        <v>171</v>
      </c>
    </row>
    <row r="3" spans="1:15">
      <c r="A3" s="6" t="s">
        <v>172</v>
      </c>
      <c r="B3" s="8">
        <v>0.85</v>
      </c>
    </row>
    <row r="5" spans="1:15">
      <c r="A5" s="3" t="s">
        <v>173</v>
      </c>
      <c r="B5" s="3" t="s">
        <v>174</v>
      </c>
      <c r="C5" s="3" t="s">
        <v>175</v>
      </c>
      <c r="D5" s="3" t="s">
        <v>176</v>
      </c>
      <c r="E5" s="3" t="s">
        <v>13</v>
      </c>
      <c r="F5" s="3" t="s">
        <v>177</v>
      </c>
      <c r="G5" s="3" t="s">
        <v>178</v>
      </c>
      <c r="H5" s="3" t="s">
        <v>179</v>
      </c>
      <c r="I5" s="3" t="s">
        <v>180</v>
      </c>
      <c r="J5" s="3" t="s">
        <v>181</v>
      </c>
      <c r="L5" s="3" t="s">
        <v>174</v>
      </c>
      <c r="M5" s="3" t="s">
        <v>26</v>
      </c>
      <c r="N5" s="3" t="s">
        <v>321</v>
      </c>
      <c r="O5" s="3" t="s">
        <v>322</v>
      </c>
    </row>
    <row r="6" spans="1:15">
      <c r="A6" s="5" t="s">
        <v>182</v>
      </c>
      <c r="B6" s="5" t="s">
        <v>183</v>
      </c>
      <c r="C6" s="12">
        <v>510</v>
      </c>
      <c r="D6" s="12">
        <v>510</v>
      </c>
      <c r="E6" s="13">
        <f>1-D6/C6</f>
        <v>0.0</v>
      </c>
      <c r="F6" s="12">
        <v>450</v>
      </c>
      <c r="G6" s="12">
        <v>0</v>
      </c>
      <c r="H6" s="13">
        <f>IF(F6=0,0,G6/F6)</f>
        <v>0.0</v>
      </c>
      <c r="I6" s="12">
        <v>0</v>
      </c>
      <c r="J6" s="5" t="str">
        <f>IF(E6&lt;$B$3,"Coach","")</f>
        <v>Coach</v>
      </c>
      <c r="L6" s="5" t="s">
        <v>203</v>
      </c>
      <c r="M6" s="12">
        <f>COUNTIF($B$6:$B$134,L6)</f>
        <v>14</v>
      </c>
      <c r="N6" s="13">
        <f>AVERAGEIFS($E$6:$E$134,$B$6:$B$134,L6)</f>
        <v>0.9146825396825397</v>
      </c>
      <c r="O6" s="13">
        <f>AVERAGEIFS($H$6:$H$134,$B$6:$B$134,L6)</f>
        <v>0.9186507936507936</v>
      </c>
    </row>
    <row r="7" spans="1:15">
      <c r="A7" s="5" t="s">
        <v>184</v>
      </c>
      <c r="B7" s="5" t="s">
        <v>185</v>
      </c>
      <c r="C7" s="12">
        <v>540</v>
      </c>
      <c r="D7" s="12">
        <v>55</v>
      </c>
      <c r="E7" s="13">
        <f>1-D7/C7</f>
        <v>0.8981481481481481</v>
      </c>
      <c r="F7" s="12">
        <v>480</v>
      </c>
      <c r="G7" s="12">
        <v>455</v>
      </c>
      <c r="H7" s="13">
        <f>IF(F7=0,0,G7/F7)</f>
        <v>0.9479166666666666</v>
      </c>
      <c r="I7" s="12">
        <v>10</v>
      </c>
      <c r="J7" s="5">
        <f>IF(E7&lt;$B$3,"Coach","")</f>
        <v/>
      </c>
      <c r="L7" s="5" t="s">
        <v>198</v>
      </c>
      <c r="M7" s="12">
        <f>COUNTIF($B$6:$B$134,L7)</f>
        <v>14</v>
      </c>
      <c r="N7" s="13">
        <f>AVERAGEIFS($E$6:$E$134,$B$6:$B$134,L7)</f>
        <v>0.9716128117913831</v>
      </c>
      <c r="O7" s="13">
        <f>AVERAGEIFS($H$6:$H$134,$B$6:$B$134,L7)</f>
        <v>0.975</v>
      </c>
    </row>
    <row r="8" spans="1:15">
      <c r="A8" s="5" t="s">
        <v>186</v>
      </c>
      <c r="B8" s="5" t="s">
        <v>187</v>
      </c>
      <c r="C8" s="12">
        <v>540</v>
      </c>
      <c r="D8" s="12">
        <v>50</v>
      </c>
      <c r="E8" s="13">
        <f>1-D8/C8</f>
        <v>0.9074074074074074</v>
      </c>
      <c r="F8" s="12">
        <v>450</v>
      </c>
      <c r="G8" s="12">
        <v>430</v>
      </c>
      <c r="H8" s="13">
        <f>IF(F8=0,0,G8/F8)</f>
        <v>0.9555555555555556</v>
      </c>
      <c r="I8" s="12">
        <v>5</v>
      </c>
      <c r="J8" s="5">
        <f>IF(E8&lt;$B$3,"Coach","")</f>
        <v/>
      </c>
      <c r="L8" s="5" t="s">
        <v>187</v>
      </c>
      <c r="M8" s="12">
        <f>COUNTIF($B$6:$B$134,L8)</f>
        <v>14</v>
      </c>
      <c r="N8" s="13">
        <f>AVERAGEIFS($E$6:$E$134,$B$6:$B$134,L8)</f>
        <v>0.9722222222222222</v>
      </c>
      <c r="O8" s="13">
        <f>AVERAGEIFS($H$6:$H$134,$B$6:$B$134,L8)</f>
        <v>0.9790887188208616</v>
      </c>
    </row>
    <row r="9" spans="1:15">
      <c r="A9" s="5" t="s">
        <v>188</v>
      </c>
      <c r="B9" s="5" t="s">
        <v>183</v>
      </c>
      <c r="C9" s="12">
        <v>510</v>
      </c>
      <c r="D9" s="12">
        <v>45</v>
      </c>
      <c r="E9" s="13">
        <f>1-D9/C9</f>
        <v>0.9117647058823529</v>
      </c>
      <c r="F9" s="12">
        <v>450</v>
      </c>
      <c r="G9" s="12">
        <v>405</v>
      </c>
      <c r="H9" s="13">
        <f>IF(F9=0,0,G9/F9)</f>
        <v>0.9</v>
      </c>
      <c r="I9" s="12">
        <v>25</v>
      </c>
      <c r="J9" s="5">
        <f>IF(E9&lt;$B$3,"Coach","")</f>
        <v/>
      </c>
      <c r="L9" s="5" t="s">
        <v>194</v>
      </c>
      <c r="M9" s="12">
        <f>COUNTIF($B$6:$B$134,L9)</f>
        <v>14</v>
      </c>
      <c r="N9" s="13">
        <f>AVERAGEIFS($E$6:$E$134,$B$6:$B$134,L9)</f>
        <v>0.9867724867724867</v>
      </c>
      <c r="O9" s="13">
        <f>AVERAGEIFS($H$6:$H$134,$B$6:$B$134,L9)</f>
        <v>0.9908659297052154</v>
      </c>
    </row>
    <row r="10" spans="1:15">
      <c r="A10" s="5" t="s">
        <v>189</v>
      </c>
      <c r="B10" s="5" t="s">
        <v>190</v>
      </c>
      <c r="C10" s="12">
        <v>540</v>
      </c>
      <c r="D10" s="12">
        <v>45</v>
      </c>
      <c r="E10" s="13">
        <f>1-D10/C10</f>
        <v>0.9166666666666666</v>
      </c>
      <c r="F10" s="12">
        <v>450</v>
      </c>
      <c r="G10" s="12">
        <v>415</v>
      </c>
      <c r="H10" s="13">
        <f>IF(F10=0,0,G10/F10)</f>
        <v>0.9222222222222223</v>
      </c>
      <c r="I10" s="12">
        <v>10</v>
      </c>
      <c r="J10" s="5">
        <f>IF(E10&lt;$B$3,"Coach","")</f>
        <v/>
      </c>
      <c r="L10" s="5" t="s">
        <v>185</v>
      </c>
      <c r="M10" s="12">
        <f>COUNTIF($B$6:$B$134,L10)</f>
        <v>14</v>
      </c>
      <c r="N10" s="13">
        <f>AVERAGEIFS($E$6:$E$134,$B$6:$B$134,L10)</f>
        <v>0.9728835978835979</v>
      </c>
      <c r="O10" s="13">
        <f>AVERAGEIFS($H$6:$H$134,$B$6:$B$134,L10)</f>
        <v>0.9810515873015874</v>
      </c>
    </row>
    <row r="11" spans="1:15">
      <c r="A11" s="5" t="s">
        <v>191</v>
      </c>
      <c r="B11" s="5" t="s">
        <v>183</v>
      </c>
      <c r="C11" s="12">
        <v>510</v>
      </c>
      <c r="D11" s="12">
        <v>45</v>
      </c>
      <c r="E11" s="13">
        <f>1-D11/C11</f>
        <v>0.9117647058823529</v>
      </c>
      <c r="F11" s="12">
        <v>450</v>
      </c>
      <c r="G11" s="12">
        <v>435</v>
      </c>
      <c r="H11" s="13">
        <f>IF(F11=0,0,G11/F11)</f>
        <v>0.9666666666666667</v>
      </c>
      <c r="I11" s="12">
        <v>15</v>
      </c>
      <c r="J11" s="5">
        <f>IF(E11&lt;$B$3,"Coach","")</f>
        <v/>
      </c>
      <c r="L11" s="5" t="s">
        <v>190</v>
      </c>
      <c r="M11" s="12">
        <f>COUNTIF($B$6:$B$134,L11)</f>
        <v>14</v>
      </c>
      <c r="N11" s="13">
        <f>AVERAGEIFS($E$6:$E$134,$B$6:$B$134,L11)</f>
        <v>0.9675925925925926</v>
      </c>
      <c r="O11" s="13">
        <f>AVERAGEIFS($H$6:$H$134,$B$6:$B$134,L11)</f>
        <v>0.9757440476190476</v>
      </c>
    </row>
    <row r="12" spans="1:15">
      <c r="A12" s="5" t="s">
        <v>192</v>
      </c>
      <c r="B12" s="5" t="s">
        <v>183</v>
      </c>
      <c r="C12" s="12">
        <v>510</v>
      </c>
      <c r="D12" s="12">
        <v>40</v>
      </c>
      <c r="E12" s="13">
        <f>1-D12/C12</f>
        <v>0.9215686274509804</v>
      </c>
      <c r="F12" s="12">
        <v>450</v>
      </c>
      <c r="G12" s="12">
        <v>410</v>
      </c>
      <c r="H12" s="13">
        <f>IF(F12=0,0,G12/F12)</f>
        <v>0.9111111111111111</v>
      </c>
      <c r="I12" s="12">
        <v>20</v>
      </c>
      <c r="J12" s="5">
        <f>IF(E12&lt;$B$3,"Coach","")</f>
        <v/>
      </c>
      <c r="L12" s="5" t="s">
        <v>210</v>
      </c>
      <c r="M12" s="12">
        <f>COUNTIF($B$6:$B$134,L12)</f>
        <v>14</v>
      </c>
      <c r="N12" s="13">
        <f>AVERAGEIFS($E$6:$E$134,$B$6:$B$134,L12)</f>
        <v>0.9742063492063492</v>
      </c>
      <c r="O12" s="13">
        <f>AVERAGEIFS($H$6:$H$134,$B$6:$B$134,L12)</f>
        <v>0.9767431972789116</v>
      </c>
    </row>
    <row r="13" spans="1:15">
      <c r="A13" s="5" t="s">
        <v>193</v>
      </c>
      <c r="B13" s="5" t="s">
        <v>194</v>
      </c>
      <c r="C13" s="12">
        <v>540</v>
      </c>
      <c r="D13" s="12">
        <v>40</v>
      </c>
      <c r="E13" s="13">
        <f>1-D13/C13</f>
        <v>0.9259259259259259</v>
      </c>
      <c r="F13" s="12">
        <v>480</v>
      </c>
      <c r="G13" s="12">
        <v>470</v>
      </c>
      <c r="H13" s="13">
        <f>IF(F13=0,0,G13/F13)</f>
        <v>0.9791666666666666</v>
      </c>
      <c r="I13" s="12">
        <v>10</v>
      </c>
      <c r="J13" s="5">
        <f>IF(E13&lt;$B$3,"Coach","")</f>
        <v/>
      </c>
      <c r="L13" s="5" t="s">
        <v>183</v>
      </c>
      <c r="M13" s="12">
        <f>COUNTIF($B$6:$B$134,L13)</f>
        <v>14</v>
      </c>
      <c r="N13" s="13">
        <f>AVERAGEIFS($E$6:$E$134,$B$6:$B$134,L13)</f>
        <v>0.8872043261749143</v>
      </c>
      <c r="O13" s="13">
        <f>AVERAGEIFS($H$6:$H$134,$B$6:$B$134,L13)</f>
        <v>0.8913090877376592</v>
      </c>
    </row>
    <row r="14" spans="1:15">
      <c r="A14" s="5" t="s">
        <v>195</v>
      </c>
      <c r="B14" s="5" t="s">
        <v>185</v>
      </c>
      <c r="C14" s="12">
        <v>540</v>
      </c>
      <c r="D14" s="12">
        <v>40</v>
      </c>
      <c r="E14" s="13">
        <f>1-D14/C14</f>
        <v>0.9259259259259259</v>
      </c>
      <c r="F14" s="12">
        <v>480</v>
      </c>
      <c r="G14" s="12">
        <v>450</v>
      </c>
      <c r="H14" s="13">
        <f>IF(F14=0,0,G14/F14)</f>
        <v>0.9375</v>
      </c>
      <c r="I14" s="12">
        <v>20</v>
      </c>
      <c r="J14" s="5">
        <f>IF(E14&lt;$B$3,"Coach","")</f>
        <v/>
      </c>
      <c r="L14" s="5" t="s">
        <v>207</v>
      </c>
      <c r="M14" s="12">
        <f>COUNTIF($B$6:$B$134,L14)</f>
        <v>14</v>
      </c>
      <c r="N14" s="13">
        <f>AVERAGEIFS($E$6:$E$134,$B$6:$B$134,L14)</f>
        <v>0.9770653949225377</v>
      </c>
      <c r="O14" s="13">
        <f>AVERAGEIFS($H$6:$H$134,$B$6:$B$134,L14)</f>
        <v>0.9787467162467163</v>
      </c>
    </row>
    <row r="15" spans="1:15">
      <c r="A15" s="5" t="s">
        <v>196</v>
      </c>
      <c r="B15" s="5" t="s">
        <v>190</v>
      </c>
      <c r="C15" s="12">
        <v>540</v>
      </c>
      <c r="D15" s="12">
        <v>35</v>
      </c>
      <c r="E15" s="13">
        <f>1-D15/C15</f>
        <v>0.9351851851851852</v>
      </c>
      <c r="F15" s="12">
        <v>420</v>
      </c>
      <c r="G15" s="12">
        <v>405</v>
      </c>
      <c r="H15" s="13">
        <f>IF(F15=0,0,G15/F15)</f>
        <v>0.9642857142857143</v>
      </c>
      <c r="I15" s="12">
        <v>0</v>
      </c>
      <c r="J15" s="5">
        <f>IF(E15&lt;$B$3,"Coach","")</f>
        <v/>
      </c>
      <c r="L15" s="5" t="s">
        <v>318</v>
      </c>
      <c r="M15" s="12">
        <f>COUNTIF($B$6:$B$134,L15)</f>
        <v>3</v>
      </c>
      <c r="N15" s="13">
        <f>AVERAGEIFS($E$6:$E$134,$B$6:$B$134,L15)</f>
        <v>1.0</v>
      </c>
      <c r="O15" s="13">
        <f>AVERAGEIFS($H$6:$H$134,$B$6:$B$134,L15)</f>
        <v>1.0</v>
      </c>
    </row>
    <row r="16" spans="1:15">
      <c r="A16" s="5" t="s">
        <v>197</v>
      </c>
      <c r="B16" s="5" t="s">
        <v>198</v>
      </c>
      <c r="C16" s="12">
        <v>210</v>
      </c>
      <c r="D16" s="12">
        <v>35</v>
      </c>
      <c r="E16" s="13">
        <f>1-D16/C16</f>
        <v>0.8333333333333334</v>
      </c>
      <c r="F16" s="12">
        <v>180</v>
      </c>
      <c r="G16" s="12">
        <v>155</v>
      </c>
      <c r="H16" s="13">
        <f>IF(F16=0,0,G16/F16)</f>
        <v>0.8611111111111112</v>
      </c>
      <c r="I16" s="12">
        <v>20</v>
      </c>
      <c r="J16" s="5" t="str">
        <f>IF(E16&lt;$B$3,"Coach","")</f>
        <v>Coach</v>
      </c>
    </row>
    <row r="17" spans="1:10">
      <c r="A17" s="5" t="s">
        <v>199</v>
      </c>
      <c r="B17" s="5" t="s">
        <v>183</v>
      </c>
      <c r="C17" s="12">
        <v>480</v>
      </c>
      <c r="D17" s="12">
        <v>30</v>
      </c>
      <c r="E17" s="13">
        <f>1-D17/C17</f>
        <v>0.9375</v>
      </c>
      <c r="F17" s="12">
        <v>420</v>
      </c>
      <c r="G17" s="12">
        <v>390</v>
      </c>
      <c r="H17" s="13">
        <f>IF(F17=0,0,G17/F17)</f>
        <v>0.9285714285714286</v>
      </c>
      <c r="I17" s="12">
        <v>15</v>
      </c>
      <c r="J17" s="5">
        <f>IF(E17&lt;$B$3,"Coach","")</f>
        <v/>
      </c>
    </row>
    <row r="18" spans="1:10">
      <c r="A18" s="5" t="s">
        <v>200</v>
      </c>
      <c r="B18" s="5" t="s">
        <v>190</v>
      </c>
      <c r="C18" s="12">
        <v>540</v>
      </c>
      <c r="D18" s="12">
        <v>30</v>
      </c>
      <c r="E18" s="13">
        <f>1-D18/C18</f>
        <v>0.9444444444444444</v>
      </c>
      <c r="F18" s="12">
        <v>450</v>
      </c>
      <c r="G18" s="12">
        <v>440</v>
      </c>
      <c r="H18" s="13">
        <f>IF(F18=0,0,G18/F18)</f>
        <v>0.9777777777777777</v>
      </c>
      <c r="I18" s="12">
        <v>0</v>
      </c>
      <c r="J18" s="5">
        <f>IF(E18&lt;$B$3,"Coach","")</f>
        <v/>
      </c>
    </row>
    <row r="19" spans="1:10">
      <c r="A19" s="5" t="s">
        <v>201</v>
      </c>
      <c r="B19" s="5" t="s">
        <v>190</v>
      </c>
      <c r="C19" s="12">
        <v>540</v>
      </c>
      <c r="D19" s="12">
        <v>30</v>
      </c>
      <c r="E19" s="13">
        <f>1-D19/C19</f>
        <v>0.9444444444444444</v>
      </c>
      <c r="F19" s="12">
        <v>480</v>
      </c>
      <c r="G19" s="12">
        <v>460</v>
      </c>
      <c r="H19" s="13">
        <f>IF(F19=0,0,G19/F19)</f>
        <v>0.9583333333333334</v>
      </c>
      <c r="I19" s="12">
        <v>20</v>
      </c>
      <c r="J19" s="5">
        <f>IF(E19&lt;$B$3,"Coach","")</f>
        <v/>
      </c>
    </row>
    <row r="20" spans="1:10">
      <c r="A20" s="5" t="s">
        <v>202</v>
      </c>
      <c r="B20" s="5" t="s">
        <v>203</v>
      </c>
      <c r="C20" s="12">
        <v>60</v>
      </c>
      <c r="D20" s="12">
        <v>30</v>
      </c>
      <c r="E20" s="13">
        <f>1-D20/C20</f>
        <v>0.5</v>
      </c>
      <c r="F20" s="12">
        <v>60</v>
      </c>
      <c r="G20" s="12">
        <v>30</v>
      </c>
      <c r="H20" s="13">
        <f>IF(F20=0,0,G20/F20)</f>
        <v>0.5</v>
      </c>
      <c r="I20" s="12">
        <v>20</v>
      </c>
      <c r="J20" s="5" t="str">
        <f>IF(E20&lt;$B$3,"Coach","")</f>
        <v>Coach</v>
      </c>
    </row>
    <row r="21" spans="1:10">
      <c r="A21" s="5" t="s">
        <v>204</v>
      </c>
      <c r="B21" s="5" t="s">
        <v>185</v>
      </c>
      <c r="C21" s="12">
        <v>540</v>
      </c>
      <c r="D21" s="12">
        <v>30</v>
      </c>
      <c r="E21" s="13">
        <f>1-D21/C21</f>
        <v>0.9444444444444444</v>
      </c>
      <c r="F21" s="12">
        <v>420</v>
      </c>
      <c r="G21" s="12">
        <v>420</v>
      </c>
      <c r="H21" s="13">
        <f>IF(F21=0,0,G21/F21)</f>
        <v>1.0</v>
      </c>
      <c r="I21" s="12">
        <v>0</v>
      </c>
      <c r="J21" s="5">
        <f>IF(E21&lt;$B$3,"Coach","")</f>
        <v/>
      </c>
    </row>
    <row r="22" spans="1:10">
      <c r="A22" s="5" t="s">
        <v>205</v>
      </c>
      <c r="B22" s="5" t="s">
        <v>187</v>
      </c>
      <c r="C22" s="12">
        <v>540</v>
      </c>
      <c r="D22" s="12">
        <v>30</v>
      </c>
      <c r="E22" s="13">
        <f>1-D22/C22</f>
        <v>0.9444444444444444</v>
      </c>
      <c r="F22" s="12">
        <v>480</v>
      </c>
      <c r="G22" s="12">
        <v>470</v>
      </c>
      <c r="H22" s="13">
        <f>IF(F22=0,0,G22/F22)</f>
        <v>0.9791666666666666</v>
      </c>
      <c r="I22" s="12">
        <v>10</v>
      </c>
      <c r="J22" s="5">
        <f>IF(E22&lt;$B$3,"Coach","")</f>
        <v/>
      </c>
    </row>
    <row r="23" spans="1:10">
      <c r="A23" s="5" t="s">
        <v>206</v>
      </c>
      <c r="B23" s="5" t="s">
        <v>207</v>
      </c>
      <c r="C23" s="12">
        <v>390</v>
      </c>
      <c r="D23" s="12">
        <v>30</v>
      </c>
      <c r="E23" s="13">
        <f>1-D23/C23</f>
        <v>0.9230769230769231</v>
      </c>
      <c r="F23" s="12">
        <v>330</v>
      </c>
      <c r="G23" s="12">
        <v>300</v>
      </c>
      <c r="H23" s="13">
        <f>IF(F23=0,0,G23/F23)</f>
        <v>0.9090909090909091</v>
      </c>
      <c r="I23" s="12">
        <v>20</v>
      </c>
      <c r="J23" s="5">
        <f>IF(E23&lt;$B$3,"Coach","")</f>
        <v/>
      </c>
    </row>
    <row r="24" spans="1:10">
      <c r="A24" s="5" t="s">
        <v>208</v>
      </c>
      <c r="B24" s="5" t="s">
        <v>207</v>
      </c>
      <c r="C24" s="12">
        <v>450</v>
      </c>
      <c r="D24" s="12">
        <v>30</v>
      </c>
      <c r="E24" s="13">
        <f>1-D24/C24</f>
        <v>0.9333333333333333</v>
      </c>
      <c r="F24" s="12">
        <v>390</v>
      </c>
      <c r="G24" s="12">
        <v>360</v>
      </c>
      <c r="H24" s="13">
        <f>IF(F24=0,0,G24/F24)</f>
        <v>0.9230769230769231</v>
      </c>
      <c r="I24" s="12">
        <v>20</v>
      </c>
      <c r="J24" s="5">
        <f>IF(E24&lt;$B$3,"Coach","")</f>
        <v/>
      </c>
    </row>
    <row r="25" spans="1:10">
      <c r="A25" s="5" t="s">
        <v>209</v>
      </c>
      <c r="B25" s="5" t="s">
        <v>210</v>
      </c>
      <c r="C25" s="12">
        <v>540</v>
      </c>
      <c r="D25" s="12">
        <v>30</v>
      </c>
      <c r="E25" s="13">
        <f>1-D25/C25</f>
        <v>0.9444444444444444</v>
      </c>
      <c r="F25" s="12">
        <v>480</v>
      </c>
      <c r="G25" s="12">
        <v>470</v>
      </c>
      <c r="H25" s="13">
        <f>IF(F25=0,0,G25/F25)</f>
        <v>0.9791666666666666</v>
      </c>
      <c r="I25" s="12">
        <v>10</v>
      </c>
      <c r="J25" s="5">
        <f>IF(E25&lt;$B$3,"Coach","")</f>
        <v/>
      </c>
    </row>
    <row r="26" spans="1:10">
      <c r="A26" s="5" t="s">
        <v>211</v>
      </c>
      <c r="B26" s="5" t="s">
        <v>210</v>
      </c>
      <c r="C26" s="12">
        <v>540</v>
      </c>
      <c r="D26" s="12">
        <v>30</v>
      </c>
      <c r="E26" s="13">
        <f>1-D26/C26</f>
        <v>0.9444444444444444</v>
      </c>
      <c r="F26" s="12">
        <v>480</v>
      </c>
      <c r="G26" s="12">
        <v>460</v>
      </c>
      <c r="H26" s="13">
        <f>IF(F26=0,0,G26/F26)</f>
        <v>0.9583333333333334</v>
      </c>
      <c r="I26" s="12">
        <v>10</v>
      </c>
      <c r="J26" s="5">
        <f>IF(E26&lt;$B$3,"Coach","")</f>
        <v/>
      </c>
    </row>
    <row r="27" spans="1:10">
      <c r="A27" s="5" t="s">
        <v>212</v>
      </c>
      <c r="B27" s="5" t="s">
        <v>210</v>
      </c>
      <c r="C27" s="12">
        <v>540</v>
      </c>
      <c r="D27" s="12">
        <v>30</v>
      </c>
      <c r="E27" s="13">
        <f>1-D27/C27</f>
        <v>0.9444444444444444</v>
      </c>
      <c r="F27" s="12">
        <v>420</v>
      </c>
      <c r="G27" s="12">
        <v>390</v>
      </c>
      <c r="H27" s="13">
        <f>IF(F27=0,0,G27/F27)</f>
        <v>0.9285714285714286</v>
      </c>
      <c r="I27" s="12">
        <v>15</v>
      </c>
      <c r="J27" s="5">
        <f>IF(E27&lt;$B$3,"Coach","")</f>
        <v/>
      </c>
    </row>
    <row r="28" spans="1:10">
      <c r="A28" s="5" t="s">
        <v>213</v>
      </c>
      <c r="B28" s="5" t="s">
        <v>183</v>
      </c>
      <c r="C28" s="12">
        <v>480</v>
      </c>
      <c r="D28" s="12">
        <v>25</v>
      </c>
      <c r="E28" s="13">
        <f>1-D28/C28</f>
        <v>0.9479166666666666</v>
      </c>
      <c r="F28" s="12">
        <v>420</v>
      </c>
      <c r="G28" s="12">
        <v>395</v>
      </c>
      <c r="H28" s="13">
        <f>IF(F28=0,0,G28/F28)</f>
        <v>0.9404761904761905</v>
      </c>
      <c r="I28" s="12">
        <v>20</v>
      </c>
      <c r="J28" s="5">
        <f>IF(E28&lt;$B$3,"Coach","")</f>
        <v/>
      </c>
    </row>
    <row r="29" spans="1:10">
      <c r="A29" s="5" t="s">
        <v>214</v>
      </c>
      <c r="B29" s="5" t="s">
        <v>190</v>
      </c>
      <c r="C29" s="12">
        <v>540</v>
      </c>
      <c r="D29" s="12">
        <v>25</v>
      </c>
      <c r="E29" s="13">
        <f>1-D29/C29</f>
        <v>0.9537037037037037</v>
      </c>
      <c r="F29" s="12">
        <v>480</v>
      </c>
      <c r="G29" s="12">
        <v>465</v>
      </c>
      <c r="H29" s="13">
        <f>IF(F29=0,0,G29/F29)</f>
        <v>0.96875</v>
      </c>
      <c r="I29" s="12">
        <v>0</v>
      </c>
      <c r="J29" s="5">
        <f>IF(E29&lt;$B$3,"Coach","")</f>
        <v/>
      </c>
    </row>
    <row r="30" spans="1:10">
      <c r="A30" s="5" t="s">
        <v>215</v>
      </c>
      <c r="B30" s="5" t="s">
        <v>210</v>
      </c>
      <c r="C30" s="12">
        <v>540</v>
      </c>
      <c r="D30" s="12">
        <v>25</v>
      </c>
      <c r="E30" s="13">
        <f>1-D30/C30</f>
        <v>0.9537037037037037</v>
      </c>
      <c r="F30" s="12">
        <v>450</v>
      </c>
      <c r="G30" s="12">
        <v>440</v>
      </c>
      <c r="H30" s="13">
        <f>IF(F30=0,0,G30/F30)</f>
        <v>0.9777777777777777</v>
      </c>
      <c r="I30" s="12">
        <v>10</v>
      </c>
      <c r="J30" s="5">
        <f>IF(E30&lt;$B$3,"Coach","")</f>
        <v/>
      </c>
    </row>
    <row r="31" spans="1:10">
      <c r="A31" s="5" t="s">
        <v>216</v>
      </c>
      <c r="B31" s="5" t="s">
        <v>183</v>
      </c>
      <c r="C31" s="12">
        <v>540</v>
      </c>
      <c r="D31" s="12">
        <v>25</v>
      </c>
      <c r="E31" s="13">
        <f>1-D31/C31</f>
        <v>0.9537037037037037</v>
      </c>
      <c r="F31" s="12">
        <v>480</v>
      </c>
      <c r="G31" s="12">
        <v>455</v>
      </c>
      <c r="H31" s="13">
        <f>IF(F31=0,0,G31/F31)</f>
        <v>0.9479166666666666</v>
      </c>
      <c r="I31" s="12">
        <v>25</v>
      </c>
      <c r="J31" s="5">
        <f>IF(E31&lt;$B$3,"Coach","")</f>
        <v/>
      </c>
    </row>
    <row r="32" spans="1:10">
      <c r="A32" s="5" t="s">
        <v>217</v>
      </c>
      <c r="B32" s="5" t="s">
        <v>210</v>
      </c>
      <c r="C32" s="12">
        <v>540</v>
      </c>
      <c r="D32" s="12">
        <v>20</v>
      </c>
      <c r="E32" s="13">
        <f>1-D32/C32</f>
        <v>0.962962962962963</v>
      </c>
      <c r="F32" s="12">
        <v>450</v>
      </c>
      <c r="G32" s="12">
        <v>430</v>
      </c>
      <c r="H32" s="13">
        <f>IF(F32=0,0,G32/F32)</f>
        <v>0.9555555555555556</v>
      </c>
      <c r="I32" s="12">
        <v>20</v>
      </c>
      <c r="J32" s="5">
        <f>IF(E32&lt;$B$3,"Coach","")</f>
        <v/>
      </c>
    </row>
    <row r="33" spans="1:10">
      <c r="A33" s="5" t="s">
        <v>218</v>
      </c>
      <c r="B33" s="5" t="s">
        <v>187</v>
      </c>
      <c r="C33" s="12">
        <v>540</v>
      </c>
      <c r="D33" s="12">
        <v>20</v>
      </c>
      <c r="E33" s="13">
        <f>1-D33/C33</f>
        <v>0.962962962962963</v>
      </c>
      <c r="F33" s="12">
        <v>420</v>
      </c>
      <c r="G33" s="12">
        <v>400</v>
      </c>
      <c r="H33" s="13">
        <f>IF(F33=0,0,G33/F33)</f>
        <v>0.9523809523809523</v>
      </c>
      <c r="I33" s="12">
        <v>20</v>
      </c>
      <c r="J33" s="5">
        <f>IF(E33&lt;$B$3,"Coach","")</f>
        <v/>
      </c>
    </row>
    <row r="34" spans="1:10">
      <c r="A34" s="5" t="s">
        <v>219</v>
      </c>
      <c r="B34" s="5" t="s">
        <v>187</v>
      </c>
      <c r="C34" s="12">
        <v>540</v>
      </c>
      <c r="D34" s="12">
        <v>20</v>
      </c>
      <c r="E34" s="13">
        <f>1-D34/C34</f>
        <v>0.962962962962963</v>
      </c>
      <c r="F34" s="12">
        <v>450</v>
      </c>
      <c r="G34" s="12">
        <v>430</v>
      </c>
      <c r="H34" s="13">
        <f>IF(F34=0,0,G34/F34)</f>
        <v>0.9555555555555556</v>
      </c>
      <c r="I34" s="12">
        <v>20</v>
      </c>
      <c r="J34" s="5">
        <f>IF(E34&lt;$B$3,"Coach","")</f>
        <v/>
      </c>
    </row>
    <row r="35" spans="1:10">
      <c r="A35" s="5" t="s">
        <v>220</v>
      </c>
      <c r="B35" s="5" t="s">
        <v>187</v>
      </c>
      <c r="C35" s="12">
        <v>540</v>
      </c>
      <c r="D35" s="12">
        <v>20</v>
      </c>
      <c r="E35" s="13">
        <f>1-D35/C35</f>
        <v>0.962962962962963</v>
      </c>
      <c r="F35" s="12">
        <v>480</v>
      </c>
      <c r="G35" s="12">
        <v>480</v>
      </c>
      <c r="H35" s="13">
        <f>IF(F35=0,0,G35/F35)</f>
        <v>1.0</v>
      </c>
      <c r="I35" s="12">
        <v>0</v>
      </c>
      <c r="J35" s="5">
        <f>IF(E35&lt;$B$3,"Coach","")</f>
        <v/>
      </c>
    </row>
    <row r="36" spans="1:10">
      <c r="A36" s="5" t="s">
        <v>221</v>
      </c>
      <c r="B36" s="5" t="s">
        <v>210</v>
      </c>
      <c r="C36" s="12">
        <v>540</v>
      </c>
      <c r="D36" s="12">
        <v>20</v>
      </c>
      <c r="E36" s="13">
        <f>1-D36/C36</f>
        <v>0.962962962962963</v>
      </c>
      <c r="F36" s="12">
        <v>480</v>
      </c>
      <c r="G36" s="12">
        <v>460</v>
      </c>
      <c r="H36" s="13">
        <f>IF(F36=0,0,G36/F36)</f>
        <v>0.9583333333333334</v>
      </c>
      <c r="I36" s="12">
        <v>10</v>
      </c>
      <c r="J36" s="5">
        <f>IF(E36&lt;$B$3,"Coach","")</f>
        <v/>
      </c>
    </row>
    <row r="37" spans="1:10">
      <c r="A37" s="5" t="s">
        <v>222</v>
      </c>
      <c r="B37" s="5" t="s">
        <v>187</v>
      </c>
      <c r="C37" s="12">
        <v>540</v>
      </c>
      <c r="D37" s="12">
        <v>20</v>
      </c>
      <c r="E37" s="13">
        <f>1-D37/C37</f>
        <v>0.962962962962963</v>
      </c>
      <c r="F37" s="12">
        <v>420</v>
      </c>
      <c r="G37" s="12">
        <v>400</v>
      </c>
      <c r="H37" s="13">
        <f>IF(F37=0,0,G37/F37)</f>
        <v>0.9523809523809523</v>
      </c>
      <c r="I37" s="12">
        <v>0</v>
      </c>
      <c r="J37" s="5">
        <f>IF(E37&lt;$B$3,"Coach","")</f>
        <v/>
      </c>
    </row>
    <row r="38" spans="1:10">
      <c r="A38" s="5" t="s">
        <v>223</v>
      </c>
      <c r="B38" s="5" t="s">
        <v>185</v>
      </c>
      <c r="C38" s="12">
        <v>540</v>
      </c>
      <c r="D38" s="12">
        <v>20</v>
      </c>
      <c r="E38" s="13">
        <f>1-D38/C38</f>
        <v>0.962962962962963</v>
      </c>
      <c r="F38" s="12">
        <v>450</v>
      </c>
      <c r="G38" s="12">
        <v>440</v>
      </c>
      <c r="H38" s="13">
        <f>IF(F38=0,0,G38/F38)</f>
        <v>0.9777777777777777</v>
      </c>
      <c r="I38" s="12">
        <v>10</v>
      </c>
      <c r="J38" s="5">
        <f>IF(E38&lt;$B$3,"Coach","")</f>
        <v/>
      </c>
    </row>
    <row r="39" spans="1:10">
      <c r="A39" s="5" t="s">
        <v>224</v>
      </c>
      <c r="B39" s="5" t="s">
        <v>190</v>
      </c>
      <c r="C39" s="12">
        <v>540</v>
      </c>
      <c r="D39" s="12">
        <v>20</v>
      </c>
      <c r="E39" s="13">
        <f>1-D39/C39</f>
        <v>0.962962962962963</v>
      </c>
      <c r="F39" s="12">
        <v>420</v>
      </c>
      <c r="G39" s="12">
        <v>400</v>
      </c>
      <c r="H39" s="13">
        <f>IF(F39=0,0,G39/F39)</f>
        <v>0.9523809523809523</v>
      </c>
      <c r="I39" s="12">
        <v>20</v>
      </c>
      <c r="J39" s="5">
        <f>IF(E39&lt;$B$3,"Coach","")</f>
        <v/>
      </c>
    </row>
    <row r="40" spans="1:10">
      <c r="A40" s="5" t="s">
        <v>225</v>
      </c>
      <c r="B40" s="5" t="s">
        <v>207</v>
      </c>
      <c r="C40" s="12">
        <v>420</v>
      </c>
      <c r="D40" s="12">
        <v>20</v>
      </c>
      <c r="E40" s="13">
        <f>1-D40/C40</f>
        <v>0.9523809523809523</v>
      </c>
      <c r="F40" s="12">
        <v>360</v>
      </c>
      <c r="G40" s="12">
        <v>340</v>
      </c>
      <c r="H40" s="13">
        <f>IF(F40=0,0,G40/F40)</f>
        <v>0.9444444444444444</v>
      </c>
      <c r="I40" s="12">
        <v>10</v>
      </c>
      <c r="J40" s="5">
        <f>IF(E40&lt;$B$3,"Coach","")</f>
        <v/>
      </c>
    </row>
    <row r="41" spans="1:10">
      <c r="A41" s="5" t="s">
        <v>226</v>
      </c>
      <c r="B41" s="5" t="s">
        <v>183</v>
      </c>
      <c r="C41" s="12">
        <v>480</v>
      </c>
      <c r="D41" s="12">
        <v>20</v>
      </c>
      <c r="E41" s="13">
        <f>1-D41/C41</f>
        <v>0.9583333333333334</v>
      </c>
      <c r="F41" s="12">
        <v>360</v>
      </c>
      <c r="G41" s="12">
        <v>360</v>
      </c>
      <c r="H41" s="13">
        <f>IF(F41=0,0,G41/F41)</f>
        <v>1.0</v>
      </c>
      <c r="I41" s="12">
        <v>0</v>
      </c>
      <c r="J41" s="5">
        <f>IF(E41&lt;$B$3,"Coach","")</f>
        <v/>
      </c>
    </row>
    <row r="42" spans="1:10">
      <c r="A42" s="5" t="s">
        <v>227</v>
      </c>
      <c r="B42" s="5" t="s">
        <v>190</v>
      </c>
      <c r="C42" s="12">
        <v>540</v>
      </c>
      <c r="D42" s="12">
        <v>20</v>
      </c>
      <c r="E42" s="13">
        <f>1-D42/C42</f>
        <v>0.962962962962963</v>
      </c>
      <c r="F42" s="12">
        <v>420</v>
      </c>
      <c r="G42" s="12">
        <v>420</v>
      </c>
      <c r="H42" s="13">
        <f>IF(F42=0,0,G42/F42)</f>
        <v>1.0</v>
      </c>
      <c r="I42" s="12">
        <v>0</v>
      </c>
      <c r="J42" s="5">
        <f>IF(E42&lt;$B$3,"Coach","")</f>
        <v/>
      </c>
    </row>
    <row r="43" spans="1:10">
      <c r="A43" s="5" t="s">
        <v>228</v>
      </c>
      <c r="B43" s="5" t="s">
        <v>194</v>
      </c>
      <c r="C43" s="12">
        <v>540</v>
      </c>
      <c r="D43" s="12">
        <v>15</v>
      </c>
      <c r="E43" s="13">
        <f>1-D43/C43</f>
        <v>0.9722222222222222</v>
      </c>
      <c r="F43" s="12">
        <v>480</v>
      </c>
      <c r="G43" s="12">
        <v>465</v>
      </c>
      <c r="H43" s="13">
        <f>IF(F43=0,0,G43/F43)</f>
        <v>0.96875</v>
      </c>
      <c r="I43" s="12">
        <v>0</v>
      </c>
      <c r="J43" s="5">
        <f>IF(E43&lt;$B$3,"Coach","")</f>
        <v/>
      </c>
    </row>
    <row r="44" spans="1:10">
      <c r="A44" s="5" t="s">
        <v>229</v>
      </c>
      <c r="B44" s="5" t="s">
        <v>183</v>
      </c>
      <c r="C44" s="12">
        <v>480</v>
      </c>
      <c r="D44" s="12">
        <v>15</v>
      </c>
      <c r="E44" s="13">
        <f>1-D44/C44</f>
        <v>0.96875</v>
      </c>
      <c r="F44" s="12">
        <v>420</v>
      </c>
      <c r="G44" s="12">
        <v>405</v>
      </c>
      <c r="H44" s="13">
        <f>IF(F44=0,0,G44/F44)</f>
        <v>0.9642857142857143</v>
      </c>
      <c r="I44" s="12">
        <v>15</v>
      </c>
      <c r="J44" s="5">
        <f>IF(E44&lt;$B$3,"Coach","")</f>
        <v/>
      </c>
    </row>
    <row r="45" spans="1:10">
      <c r="A45" s="5" t="s">
        <v>230</v>
      </c>
      <c r="B45" s="5" t="s">
        <v>210</v>
      </c>
      <c r="C45" s="12">
        <v>540</v>
      </c>
      <c r="D45" s="12">
        <v>15</v>
      </c>
      <c r="E45" s="13">
        <f>1-D45/C45</f>
        <v>0.9722222222222222</v>
      </c>
      <c r="F45" s="12">
        <v>480</v>
      </c>
      <c r="G45" s="12">
        <v>465</v>
      </c>
      <c r="H45" s="13">
        <f>IF(F45=0,0,G45/F45)</f>
        <v>0.96875</v>
      </c>
      <c r="I45" s="12">
        <v>0</v>
      </c>
      <c r="J45" s="5">
        <f>IF(E45&lt;$B$3,"Coach","")</f>
        <v/>
      </c>
    </row>
    <row r="46" spans="1:10">
      <c r="A46" s="5" t="s">
        <v>231</v>
      </c>
      <c r="B46" s="5" t="s">
        <v>190</v>
      </c>
      <c r="C46" s="12">
        <v>540</v>
      </c>
      <c r="D46" s="12">
        <v>15</v>
      </c>
      <c r="E46" s="13">
        <f>1-D46/C46</f>
        <v>0.9722222222222222</v>
      </c>
      <c r="F46" s="12">
        <v>480</v>
      </c>
      <c r="G46" s="12">
        <v>465</v>
      </c>
      <c r="H46" s="13">
        <f>IF(F46=0,0,G46/F46)</f>
        <v>0.96875</v>
      </c>
      <c r="I46" s="12">
        <v>0</v>
      </c>
      <c r="J46" s="5">
        <f>IF(E46&lt;$B$3,"Coach","")</f>
        <v/>
      </c>
    </row>
    <row r="47" spans="1:10">
      <c r="A47" s="5" t="s">
        <v>232</v>
      </c>
      <c r="B47" s="5" t="s">
        <v>185</v>
      </c>
      <c r="C47" s="12">
        <v>540</v>
      </c>
      <c r="D47" s="12">
        <v>15</v>
      </c>
      <c r="E47" s="13">
        <f>1-D47/C47</f>
        <v>0.9722222222222222</v>
      </c>
      <c r="F47" s="12">
        <v>480</v>
      </c>
      <c r="G47" s="12">
        <v>465</v>
      </c>
      <c r="H47" s="13">
        <f>IF(F47=0,0,G47/F47)</f>
        <v>0.96875</v>
      </c>
      <c r="I47" s="12">
        <v>0</v>
      </c>
      <c r="J47" s="5">
        <f>IF(E47&lt;$B$3,"Coach","")</f>
        <v/>
      </c>
    </row>
    <row r="48" spans="1:10">
      <c r="A48" s="5" t="s">
        <v>233</v>
      </c>
      <c r="B48" s="5" t="s">
        <v>185</v>
      </c>
      <c r="C48" s="12">
        <v>540</v>
      </c>
      <c r="D48" s="12">
        <v>15</v>
      </c>
      <c r="E48" s="13">
        <f>1-D48/C48</f>
        <v>0.9722222222222222</v>
      </c>
      <c r="F48" s="12">
        <v>450</v>
      </c>
      <c r="G48" s="12">
        <v>435</v>
      </c>
      <c r="H48" s="13">
        <f>IF(F48=0,0,G48/F48)</f>
        <v>0.9666666666666667</v>
      </c>
      <c r="I48" s="12">
        <v>0</v>
      </c>
      <c r="J48" s="5">
        <f>IF(E48&lt;$B$3,"Coach","")</f>
        <v/>
      </c>
    </row>
    <row r="49" spans="1:10">
      <c r="A49" s="5" t="s">
        <v>234</v>
      </c>
      <c r="B49" s="5" t="s">
        <v>190</v>
      </c>
      <c r="C49" s="12">
        <v>540</v>
      </c>
      <c r="D49" s="12">
        <v>15</v>
      </c>
      <c r="E49" s="13">
        <f>1-D49/C49</f>
        <v>0.9722222222222222</v>
      </c>
      <c r="F49" s="12">
        <v>480</v>
      </c>
      <c r="G49" s="12">
        <v>465</v>
      </c>
      <c r="H49" s="13">
        <f>IF(F49=0,0,G49/F49)</f>
        <v>0.96875</v>
      </c>
      <c r="I49" s="12">
        <v>0</v>
      </c>
      <c r="J49" s="5">
        <f>IF(E49&lt;$B$3,"Coach","")</f>
        <v/>
      </c>
    </row>
    <row r="50" spans="1:10">
      <c r="A50" s="5" t="s">
        <v>235</v>
      </c>
      <c r="B50" s="5" t="s">
        <v>210</v>
      </c>
      <c r="C50" s="12">
        <v>540</v>
      </c>
      <c r="D50" s="12">
        <v>15</v>
      </c>
      <c r="E50" s="13">
        <f>1-D50/C50</f>
        <v>0.9722222222222222</v>
      </c>
      <c r="F50" s="12">
        <v>480</v>
      </c>
      <c r="G50" s="12">
        <v>465</v>
      </c>
      <c r="H50" s="13">
        <f>IF(F50=0,0,G50/F50)</f>
        <v>0.96875</v>
      </c>
      <c r="I50" s="12">
        <v>15</v>
      </c>
      <c r="J50" s="5">
        <f>IF(E50&lt;$B$3,"Coach","")</f>
        <v/>
      </c>
    </row>
    <row r="51" spans="1:10">
      <c r="A51" s="5" t="s">
        <v>236</v>
      </c>
      <c r="B51" s="5" t="s">
        <v>207</v>
      </c>
      <c r="C51" s="12">
        <v>390</v>
      </c>
      <c r="D51" s="12">
        <v>15</v>
      </c>
      <c r="E51" s="13">
        <f>1-D51/C51</f>
        <v>0.9615384615384616</v>
      </c>
      <c r="F51" s="12">
        <v>330</v>
      </c>
      <c r="G51" s="12">
        <v>315</v>
      </c>
      <c r="H51" s="13">
        <f>IF(F51=0,0,G51/F51)</f>
        <v>0.9545454545454546</v>
      </c>
      <c r="I51" s="12">
        <v>15</v>
      </c>
      <c r="J51" s="5">
        <f>IF(E51&lt;$B$3,"Coach","")</f>
        <v/>
      </c>
    </row>
    <row r="52" spans="1:10">
      <c r="A52" s="5" t="s">
        <v>237</v>
      </c>
      <c r="B52" s="5" t="s">
        <v>187</v>
      </c>
      <c r="C52" s="12">
        <v>540</v>
      </c>
      <c r="D52" s="12">
        <v>15</v>
      </c>
      <c r="E52" s="13">
        <f>1-D52/C52</f>
        <v>0.9722222222222222</v>
      </c>
      <c r="F52" s="12">
        <v>480</v>
      </c>
      <c r="G52" s="12">
        <v>465</v>
      </c>
      <c r="H52" s="13">
        <f>IF(F52=0,0,G52/F52)</f>
        <v>0.96875</v>
      </c>
      <c r="I52" s="12">
        <v>0</v>
      </c>
      <c r="J52" s="5">
        <f>IF(E52&lt;$B$3,"Coach","")</f>
        <v/>
      </c>
    </row>
    <row r="53" spans="1:10">
      <c r="A53" s="5" t="s">
        <v>238</v>
      </c>
      <c r="B53" s="5" t="s">
        <v>187</v>
      </c>
      <c r="C53" s="12">
        <v>540</v>
      </c>
      <c r="D53" s="12">
        <v>15</v>
      </c>
      <c r="E53" s="13">
        <f>1-D53/C53</f>
        <v>0.9722222222222222</v>
      </c>
      <c r="F53" s="12">
        <v>420</v>
      </c>
      <c r="G53" s="12">
        <v>405</v>
      </c>
      <c r="H53" s="13">
        <f>IF(F53=0,0,G53/F53)</f>
        <v>0.9642857142857143</v>
      </c>
      <c r="I53" s="12">
        <v>5</v>
      </c>
      <c r="J53" s="5">
        <f>IF(E53&lt;$B$3,"Coach","")</f>
        <v/>
      </c>
    </row>
    <row r="54" spans="1:10">
      <c r="A54" s="5" t="s">
        <v>239</v>
      </c>
      <c r="B54" s="5" t="s">
        <v>203</v>
      </c>
      <c r="C54" s="12">
        <v>60</v>
      </c>
      <c r="D54" s="12">
        <v>15</v>
      </c>
      <c r="E54" s="13">
        <f>1-D54/C54</f>
        <v>0.75</v>
      </c>
      <c r="F54" s="12">
        <v>60</v>
      </c>
      <c r="G54" s="12">
        <v>45</v>
      </c>
      <c r="H54" s="13">
        <f>IF(F54=0,0,G54/F54)</f>
        <v>0.75</v>
      </c>
      <c r="I54" s="12">
        <v>10</v>
      </c>
      <c r="J54" s="5" t="str">
        <f>IF(E54&lt;$B$3,"Coach","")</f>
        <v>Coach</v>
      </c>
    </row>
    <row r="55" spans="1:10">
      <c r="A55" s="5" t="s">
        <v>240</v>
      </c>
      <c r="B55" s="5" t="s">
        <v>194</v>
      </c>
      <c r="C55" s="12">
        <v>540</v>
      </c>
      <c r="D55" s="12">
        <v>15</v>
      </c>
      <c r="E55" s="13">
        <f>1-D55/C55</f>
        <v>0.9722222222222222</v>
      </c>
      <c r="F55" s="12">
        <v>480</v>
      </c>
      <c r="G55" s="12">
        <v>465</v>
      </c>
      <c r="H55" s="13">
        <f>IF(F55=0,0,G55/F55)</f>
        <v>0.96875</v>
      </c>
      <c r="I55" s="12">
        <v>0</v>
      </c>
      <c r="J55" s="5">
        <f>IF(E55&lt;$B$3,"Coach","")</f>
        <v/>
      </c>
    </row>
    <row r="56" spans="1:10">
      <c r="A56" s="5" t="s">
        <v>241</v>
      </c>
      <c r="B56" s="5" t="s">
        <v>185</v>
      </c>
      <c r="C56" s="12">
        <v>540</v>
      </c>
      <c r="D56" s="12">
        <v>10</v>
      </c>
      <c r="E56" s="13">
        <f>1-D56/C56</f>
        <v>0.9814814814814815</v>
      </c>
      <c r="F56" s="12">
        <v>480</v>
      </c>
      <c r="G56" s="12">
        <v>470</v>
      </c>
      <c r="H56" s="13">
        <f>IF(F56=0,0,G56/F56)</f>
        <v>0.9791666666666666</v>
      </c>
      <c r="I56" s="12">
        <v>10</v>
      </c>
      <c r="J56" s="5">
        <f>IF(E56&lt;$B$3,"Coach","")</f>
        <v/>
      </c>
    </row>
    <row r="57" spans="1:10">
      <c r="A57" s="5" t="s">
        <v>242</v>
      </c>
      <c r="B57" s="5" t="s">
        <v>185</v>
      </c>
      <c r="C57" s="12">
        <v>540</v>
      </c>
      <c r="D57" s="12">
        <v>10</v>
      </c>
      <c r="E57" s="13">
        <f>1-D57/C57</f>
        <v>0.9814814814814815</v>
      </c>
      <c r="F57" s="12">
        <v>480</v>
      </c>
      <c r="G57" s="12">
        <v>470</v>
      </c>
      <c r="H57" s="13">
        <f>IF(F57=0,0,G57/F57)</f>
        <v>0.9791666666666666</v>
      </c>
      <c r="I57" s="12">
        <v>0</v>
      </c>
      <c r="J57" s="5">
        <f>IF(E57&lt;$B$3,"Coach","")</f>
        <v/>
      </c>
    </row>
    <row r="58" spans="1:10">
      <c r="A58" s="5" t="s">
        <v>243</v>
      </c>
      <c r="B58" s="5" t="s">
        <v>187</v>
      </c>
      <c r="C58" s="12">
        <v>540</v>
      </c>
      <c r="D58" s="12">
        <v>10</v>
      </c>
      <c r="E58" s="13">
        <f>1-D58/C58</f>
        <v>0.9814814814814815</v>
      </c>
      <c r="F58" s="12">
        <v>480</v>
      </c>
      <c r="G58" s="12">
        <v>480</v>
      </c>
      <c r="H58" s="13">
        <f>IF(F58=0,0,G58/F58)</f>
        <v>1.0</v>
      </c>
      <c r="I58" s="12">
        <v>0</v>
      </c>
      <c r="J58" s="5">
        <f>IF(E58&lt;$B$3,"Coach","")</f>
        <v/>
      </c>
    </row>
    <row r="59" spans="1:10">
      <c r="A59" s="5" t="s">
        <v>244</v>
      </c>
      <c r="B59" s="5" t="s">
        <v>198</v>
      </c>
      <c r="C59" s="12">
        <v>180</v>
      </c>
      <c r="D59" s="12">
        <v>10</v>
      </c>
      <c r="E59" s="13">
        <f>1-D59/C59</f>
        <v>0.9444444444444444</v>
      </c>
      <c r="F59" s="12">
        <v>150</v>
      </c>
      <c r="G59" s="12">
        <v>140</v>
      </c>
      <c r="H59" s="13">
        <f>IF(F59=0,0,G59/F59)</f>
        <v>0.9333333333333333</v>
      </c>
      <c r="I59" s="12">
        <v>10</v>
      </c>
      <c r="J59" s="5">
        <f>IF(E59&lt;$B$3,"Coach","")</f>
        <v/>
      </c>
    </row>
    <row r="60" spans="1:10">
      <c r="A60" s="5" t="s">
        <v>245</v>
      </c>
      <c r="B60" s="5" t="s">
        <v>198</v>
      </c>
      <c r="C60" s="12">
        <v>180</v>
      </c>
      <c r="D60" s="12">
        <v>10</v>
      </c>
      <c r="E60" s="13">
        <f>1-D60/C60</f>
        <v>0.9444444444444444</v>
      </c>
      <c r="F60" s="12">
        <v>180</v>
      </c>
      <c r="G60" s="12">
        <v>170</v>
      </c>
      <c r="H60" s="13">
        <f>IF(F60=0,0,G60/F60)</f>
        <v>0.9444444444444444</v>
      </c>
      <c r="I60" s="12">
        <v>10</v>
      </c>
      <c r="J60" s="5">
        <f>IF(E60&lt;$B$3,"Coach","")</f>
        <v/>
      </c>
    </row>
    <row r="61" spans="1:10">
      <c r="A61" s="5" t="s">
        <v>246</v>
      </c>
      <c r="B61" s="5" t="s">
        <v>203</v>
      </c>
      <c r="C61" s="12">
        <v>60</v>
      </c>
      <c r="D61" s="12">
        <v>10</v>
      </c>
      <c r="E61" s="13">
        <f>1-D61/C61</f>
        <v>0.8333333333333334</v>
      </c>
      <c r="F61" s="12">
        <v>60</v>
      </c>
      <c r="G61" s="12">
        <v>50</v>
      </c>
      <c r="H61" s="13">
        <f>IF(F61=0,0,G61/F61)</f>
        <v>0.8333333333333334</v>
      </c>
      <c r="I61" s="12">
        <v>10</v>
      </c>
      <c r="J61" s="5" t="str">
        <f>IF(E61&lt;$B$3,"Coach","")</f>
        <v>Coach</v>
      </c>
    </row>
    <row r="62" spans="1:10">
      <c r="A62" s="5" t="s">
        <v>247</v>
      </c>
      <c r="B62" s="5" t="s">
        <v>198</v>
      </c>
      <c r="C62" s="12">
        <v>240</v>
      </c>
      <c r="D62" s="12">
        <v>10</v>
      </c>
      <c r="E62" s="13">
        <f>1-D62/C62</f>
        <v>0.9583333333333334</v>
      </c>
      <c r="F62" s="12">
        <v>180</v>
      </c>
      <c r="G62" s="12">
        <v>170</v>
      </c>
      <c r="H62" s="13">
        <f>IF(F62=0,0,G62/F62)</f>
        <v>0.9444444444444444</v>
      </c>
      <c r="I62" s="12">
        <v>10</v>
      </c>
      <c r="J62" s="5">
        <f>IF(E62&lt;$B$3,"Coach","")</f>
        <v/>
      </c>
    </row>
    <row r="63" spans="1:10">
      <c r="A63" s="5" t="s">
        <v>248</v>
      </c>
      <c r="B63" s="5" t="s">
        <v>187</v>
      </c>
      <c r="C63" s="12">
        <v>540</v>
      </c>
      <c r="D63" s="12">
        <v>10</v>
      </c>
      <c r="E63" s="13">
        <f>1-D63/C63</f>
        <v>0.9814814814814815</v>
      </c>
      <c r="F63" s="12">
        <v>480</v>
      </c>
      <c r="G63" s="12">
        <v>470</v>
      </c>
      <c r="H63" s="13">
        <f>IF(F63=0,0,G63/F63)</f>
        <v>0.9791666666666666</v>
      </c>
      <c r="I63" s="12">
        <v>10</v>
      </c>
      <c r="J63" s="5">
        <f>IF(E63&lt;$B$3,"Coach","")</f>
        <v/>
      </c>
    </row>
    <row r="64" spans="1:10">
      <c r="A64" s="5" t="s">
        <v>249</v>
      </c>
      <c r="B64" s="5" t="s">
        <v>194</v>
      </c>
      <c r="C64" s="12">
        <v>540</v>
      </c>
      <c r="D64" s="12">
        <v>10</v>
      </c>
      <c r="E64" s="13">
        <f>1-D64/C64</f>
        <v>0.9814814814814815</v>
      </c>
      <c r="F64" s="12">
        <v>450</v>
      </c>
      <c r="G64" s="12">
        <v>440</v>
      </c>
      <c r="H64" s="13">
        <f>IF(F64=0,0,G64/F64)</f>
        <v>0.9777777777777777</v>
      </c>
      <c r="I64" s="12">
        <v>0</v>
      </c>
      <c r="J64" s="5">
        <f>IF(E64&lt;$B$3,"Coach","")</f>
        <v/>
      </c>
    </row>
    <row r="65" spans="1:10">
      <c r="A65" s="5" t="s">
        <v>250</v>
      </c>
      <c r="B65" s="5" t="s">
        <v>194</v>
      </c>
      <c r="C65" s="12">
        <v>540</v>
      </c>
      <c r="D65" s="12">
        <v>10</v>
      </c>
      <c r="E65" s="13">
        <f>1-D65/C65</f>
        <v>0.9814814814814815</v>
      </c>
      <c r="F65" s="12">
        <v>480</v>
      </c>
      <c r="G65" s="12">
        <v>480</v>
      </c>
      <c r="H65" s="13">
        <f>IF(F65=0,0,G65/F65)</f>
        <v>1.0</v>
      </c>
      <c r="I65" s="12">
        <v>0</v>
      </c>
      <c r="J65" s="5">
        <f>IF(E65&lt;$B$3,"Coach","")</f>
        <v/>
      </c>
    </row>
    <row r="66" spans="1:10">
      <c r="A66" s="5" t="s">
        <v>251</v>
      </c>
      <c r="B66" s="5" t="s">
        <v>207</v>
      </c>
      <c r="C66" s="12">
        <v>300</v>
      </c>
      <c r="D66" s="12">
        <v>10</v>
      </c>
      <c r="E66" s="13">
        <f>1-D66/C66</f>
        <v>0.9666666666666667</v>
      </c>
      <c r="F66" s="12">
        <v>270</v>
      </c>
      <c r="G66" s="12">
        <v>260</v>
      </c>
      <c r="H66" s="13">
        <f>IF(F66=0,0,G66/F66)</f>
        <v>0.9629629629629629</v>
      </c>
      <c r="I66" s="12">
        <v>5</v>
      </c>
      <c r="J66" s="5">
        <f>IF(E66&lt;$B$3,"Coach","")</f>
        <v/>
      </c>
    </row>
    <row r="67" spans="1:10">
      <c r="A67" s="5" t="s">
        <v>252</v>
      </c>
      <c r="B67" s="5" t="s">
        <v>183</v>
      </c>
      <c r="C67" s="12">
        <v>450</v>
      </c>
      <c r="D67" s="12">
        <v>10</v>
      </c>
      <c r="E67" s="13">
        <f>1-D67/C67</f>
        <v>0.9777777777777777</v>
      </c>
      <c r="F67" s="12">
        <v>390</v>
      </c>
      <c r="G67" s="12">
        <v>380</v>
      </c>
      <c r="H67" s="13">
        <f>IF(F67=0,0,G67/F67)</f>
        <v>0.9743589743589743</v>
      </c>
      <c r="I67" s="12">
        <v>10</v>
      </c>
      <c r="J67" s="5">
        <f>IF(E67&lt;$B$3,"Coach","")</f>
        <v/>
      </c>
    </row>
    <row r="68" spans="1:10">
      <c r="A68" s="5" t="s">
        <v>253</v>
      </c>
      <c r="B68" s="5" t="s">
        <v>183</v>
      </c>
      <c r="C68" s="12">
        <v>480</v>
      </c>
      <c r="D68" s="12">
        <v>10</v>
      </c>
      <c r="E68" s="13">
        <f>1-D68/C68</f>
        <v>0.9791666666666666</v>
      </c>
      <c r="F68" s="12">
        <v>420</v>
      </c>
      <c r="G68" s="12">
        <v>410</v>
      </c>
      <c r="H68" s="13">
        <f>IF(F68=0,0,G68/F68)</f>
        <v>0.9761904761904762</v>
      </c>
      <c r="I68" s="12">
        <v>5</v>
      </c>
      <c r="J68" s="5">
        <f>IF(E68&lt;$B$3,"Coach","")</f>
        <v/>
      </c>
    </row>
    <row r="69" spans="1:10">
      <c r="A69" s="5" t="s">
        <v>254</v>
      </c>
      <c r="B69" s="5" t="s">
        <v>207</v>
      </c>
      <c r="C69" s="12">
        <v>330</v>
      </c>
      <c r="D69" s="12">
        <v>10</v>
      </c>
      <c r="E69" s="13">
        <f>1-D69/C69</f>
        <v>0.9696969696969697</v>
      </c>
      <c r="F69" s="12">
        <v>240</v>
      </c>
      <c r="G69" s="12">
        <v>250</v>
      </c>
      <c r="H69" s="13">
        <f>IF(F69=0,0,G69/F69)</f>
        <v>1.0416666666666667</v>
      </c>
      <c r="I69" s="12">
        <v>0</v>
      </c>
      <c r="J69" s="5">
        <f>IF(E69&lt;$B$3,"Coach","")</f>
        <v/>
      </c>
    </row>
    <row r="70" spans="1:10">
      <c r="A70" s="5" t="s">
        <v>255</v>
      </c>
      <c r="B70" s="5" t="s">
        <v>207</v>
      </c>
      <c r="C70" s="12">
        <v>360</v>
      </c>
      <c r="D70" s="12">
        <v>10</v>
      </c>
      <c r="E70" s="13">
        <f>1-D70/C70</f>
        <v>0.9722222222222222</v>
      </c>
      <c r="F70" s="12">
        <v>300</v>
      </c>
      <c r="G70" s="12">
        <v>290</v>
      </c>
      <c r="H70" s="13">
        <f>IF(F70=0,0,G70/F70)</f>
        <v>0.9666666666666667</v>
      </c>
      <c r="I70" s="12">
        <v>10</v>
      </c>
      <c r="J70" s="5">
        <f>IF(E70&lt;$B$3,"Coach","")</f>
        <v/>
      </c>
    </row>
    <row r="71" spans="1:10">
      <c r="A71" s="5" t="s">
        <v>256</v>
      </c>
      <c r="B71" s="5" t="s">
        <v>183</v>
      </c>
      <c r="C71" s="12">
        <v>510</v>
      </c>
      <c r="D71" s="12">
        <v>10</v>
      </c>
      <c r="E71" s="13">
        <f>1-D71/C71</f>
        <v>0.9803921568627451</v>
      </c>
      <c r="F71" s="12">
        <v>450</v>
      </c>
      <c r="G71" s="12">
        <v>450</v>
      </c>
      <c r="H71" s="13">
        <f>IF(F71=0,0,G71/F71)</f>
        <v>1.0</v>
      </c>
      <c r="I71" s="12">
        <v>0</v>
      </c>
      <c r="J71" s="5">
        <f>IF(E71&lt;$B$3,"Coach","")</f>
        <v/>
      </c>
    </row>
    <row r="72" spans="1:10">
      <c r="A72" s="5" t="s">
        <v>257</v>
      </c>
      <c r="B72" s="5" t="s">
        <v>190</v>
      </c>
      <c r="C72" s="12">
        <v>540</v>
      </c>
      <c r="D72" s="12">
        <v>10</v>
      </c>
      <c r="E72" s="13">
        <f>1-D72/C72</f>
        <v>0.9814814814814815</v>
      </c>
      <c r="F72" s="12">
        <v>480</v>
      </c>
      <c r="G72" s="12">
        <v>470</v>
      </c>
      <c r="H72" s="13">
        <f>IF(F72=0,0,G72/F72)</f>
        <v>0.9791666666666666</v>
      </c>
      <c r="I72" s="12">
        <v>0</v>
      </c>
      <c r="J72" s="5">
        <f>IF(E72&lt;$B$3,"Coach","")</f>
        <v/>
      </c>
    </row>
    <row r="73" spans="1:10">
      <c r="A73" s="5" t="s">
        <v>258</v>
      </c>
      <c r="B73" s="5" t="s">
        <v>183</v>
      </c>
      <c r="C73" s="12">
        <v>540</v>
      </c>
      <c r="D73" s="12">
        <v>10</v>
      </c>
      <c r="E73" s="13">
        <f>1-D73/C73</f>
        <v>0.9814814814814815</v>
      </c>
      <c r="F73" s="12">
        <v>480</v>
      </c>
      <c r="G73" s="12">
        <v>470</v>
      </c>
      <c r="H73" s="13">
        <f>IF(F73=0,0,G73/F73)</f>
        <v>0.9791666666666666</v>
      </c>
      <c r="I73" s="12">
        <v>10</v>
      </c>
      <c r="J73" s="5">
        <f>IF(E73&lt;$B$3,"Coach","")</f>
        <v/>
      </c>
    </row>
    <row r="74" spans="1:10">
      <c r="A74" s="5" t="s">
        <v>259</v>
      </c>
      <c r="B74" s="5" t="s">
        <v>194</v>
      </c>
      <c r="C74" s="12">
        <v>540</v>
      </c>
      <c r="D74" s="12">
        <v>5</v>
      </c>
      <c r="E74" s="13">
        <f>1-D74/C74</f>
        <v>0.9907407407407407</v>
      </c>
      <c r="F74" s="12">
        <v>420</v>
      </c>
      <c r="G74" s="12">
        <v>415</v>
      </c>
      <c r="H74" s="13">
        <f>IF(F74=0,0,G74/F74)</f>
        <v>0.9880952380952381</v>
      </c>
      <c r="I74" s="12">
        <v>0</v>
      </c>
      <c r="J74" s="5">
        <f>IF(E74&lt;$B$3,"Coach","")</f>
        <v/>
      </c>
    </row>
    <row r="75" spans="1:10">
      <c r="A75" s="5" t="s">
        <v>260</v>
      </c>
      <c r="B75" s="5" t="s">
        <v>198</v>
      </c>
      <c r="C75" s="12">
        <v>210</v>
      </c>
      <c r="D75" s="12">
        <v>5</v>
      </c>
      <c r="E75" s="13">
        <f>1-D75/C75</f>
        <v>0.9761904761904762</v>
      </c>
      <c r="F75" s="12">
        <v>180</v>
      </c>
      <c r="G75" s="12">
        <v>175</v>
      </c>
      <c r="H75" s="13">
        <f>IF(F75=0,0,G75/F75)</f>
        <v>0.9722222222222222</v>
      </c>
      <c r="I75" s="12">
        <v>0</v>
      </c>
      <c r="J75" s="5">
        <f>IF(E75&lt;$B$3,"Coach","")</f>
        <v/>
      </c>
    </row>
    <row r="76" spans="1:10">
      <c r="A76" s="5" t="s">
        <v>261</v>
      </c>
      <c r="B76" s="5" t="s">
        <v>198</v>
      </c>
      <c r="C76" s="12">
        <v>150</v>
      </c>
      <c r="D76" s="12">
        <v>5</v>
      </c>
      <c r="E76" s="13">
        <f>1-D76/C76</f>
        <v>0.9666666666666667</v>
      </c>
      <c r="F76" s="12">
        <v>150</v>
      </c>
      <c r="G76" s="12">
        <v>145</v>
      </c>
      <c r="H76" s="13">
        <f>IF(F76=0,0,G76/F76)</f>
        <v>0.9666666666666667</v>
      </c>
      <c r="I76" s="12">
        <v>0</v>
      </c>
      <c r="J76" s="5">
        <f>IF(E76&lt;$B$3,"Coach","")</f>
        <v/>
      </c>
    </row>
    <row r="77" spans="1:10">
      <c r="A77" s="5" t="s">
        <v>262</v>
      </c>
      <c r="B77" s="5" t="s">
        <v>203</v>
      </c>
      <c r="C77" s="12">
        <v>90</v>
      </c>
      <c r="D77" s="12">
        <v>5</v>
      </c>
      <c r="E77" s="13">
        <f>1-D77/C77</f>
        <v>0.9444444444444444</v>
      </c>
      <c r="F77" s="12">
        <v>60</v>
      </c>
      <c r="G77" s="12">
        <v>60</v>
      </c>
      <c r="H77" s="13">
        <f>IF(F77=0,0,G77/F77)</f>
        <v>1.0</v>
      </c>
      <c r="I77" s="12">
        <v>0</v>
      </c>
      <c r="J77" s="5">
        <f>IF(E77&lt;$B$3,"Coach","")</f>
        <v/>
      </c>
    </row>
    <row r="78" spans="1:10">
      <c r="A78" s="5" t="s">
        <v>263</v>
      </c>
      <c r="B78" s="5" t="s">
        <v>203</v>
      </c>
      <c r="C78" s="12">
        <v>90</v>
      </c>
      <c r="D78" s="12">
        <v>5</v>
      </c>
      <c r="E78" s="13">
        <f>1-D78/C78</f>
        <v>0.9444444444444444</v>
      </c>
      <c r="F78" s="12">
        <v>90</v>
      </c>
      <c r="G78" s="12">
        <v>85</v>
      </c>
      <c r="H78" s="13">
        <f>IF(F78=0,0,G78/F78)</f>
        <v>0.9444444444444444</v>
      </c>
      <c r="I78" s="12">
        <v>5</v>
      </c>
      <c r="J78" s="5">
        <f>IF(E78&lt;$B$3,"Coach","")</f>
        <v/>
      </c>
    </row>
    <row r="79" spans="1:10">
      <c r="A79" s="5" t="s">
        <v>264</v>
      </c>
      <c r="B79" s="5" t="s">
        <v>203</v>
      </c>
      <c r="C79" s="12">
        <v>30</v>
      </c>
      <c r="D79" s="12">
        <v>5</v>
      </c>
      <c r="E79" s="13">
        <f>1-D79/C79</f>
        <v>0.8333333333333334</v>
      </c>
      <c r="F79" s="12">
        <v>30</v>
      </c>
      <c r="G79" s="12">
        <v>25</v>
      </c>
      <c r="H79" s="13">
        <f>IF(F79=0,0,G79/F79)</f>
        <v>0.8333333333333334</v>
      </c>
      <c r="I79" s="12">
        <v>5</v>
      </c>
      <c r="J79" s="5" t="str">
        <f>IF(E79&lt;$B$3,"Coach","")</f>
        <v>Coach</v>
      </c>
    </row>
    <row r="80" spans="1:10">
      <c r="A80" s="5" t="s">
        <v>265</v>
      </c>
      <c r="B80" s="5" t="s">
        <v>185</v>
      </c>
      <c r="C80" s="12">
        <v>540</v>
      </c>
      <c r="D80" s="12">
        <v>5</v>
      </c>
      <c r="E80" s="13">
        <f>1-D80/C80</f>
        <v>0.9907407407407407</v>
      </c>
      <c r="F80" s="12">
        <v>450</v>
      </c>
      <c r="G80" s="12">
        <v>445</v>
      </c>
      <c r="H80" s="13">
        <f>IF(F80=0,0,G80/F80)</f>
        <v>0.9888888888888889</v>
      </c>
      <c r="I80" s="12">
        <v>5</v>
      </c>
      <c r="J80" s="5">
        <f>IF(E80&lt;$B$3,"Coach","")</f>
        <v/>
      </c>
    </row>
    <row r="81" spans="1:10">
      <c r="A81" s="5" t="s">
        <v>266</v>
      </c>
      <c r="B81" s="5" t="s">
        <v>210</v>
      </c>
      <c r="C81" s="12">
        <v>540</v>
      </c>
      <c r="D81" s="12">
        <v>5</v>
      </c>
      <c r="E81" s="13">
        <f>1-D81/C81</f>
        <v>0.9907407407407407</v>
      </c>
      <c r="F81" s="12">
        <v>480</v>
      </c>
      <c r="G81" s="12">
        <v>475</v>
      </c>
      <c r="H81" s="13">
        <f>IF(F81=0,0,G81/F81)</f>
        <v>0.9895833333333334</v>
      </c>
      <c r="I81" s="12">
        <v>5</v>
      </c>
      <c r="J81" s="5">
        <f>IF(E81&lt;$B$3,"Coach","")</f>
        <v/>
      </c>
    </row>
    <row r="82" spans="1:10">
      <c r="A82" s="5" t="s">
        <v>267</v>
      </c>
      <c r="B82" s="5" t="s">
        <v>210</v>
      </c>
      <c r="C82" s="12">
        <v>540</v>
      </c>
      <c r="D82" s="12">
        <v>5</v>
      </c>
      <c r="E82" s="13">
        <f>1-D82/C82</f>
        <v>0.9907407407407407</v>
      </c>
      <c r="F82" s="12">
        <v>480</v>
      </c>
      <c r="G82" s="12">
        <v>475</v>
      </c>
      <c r="H82" s="13">
        <f>IF(F82=0,0,G82/F82)</f>
        <v>0.9895833333333334</v>
      </c>
      <c r="I82" s="12">
        <v>5</v>
      </c>
      <c r="J82" s="5">
        <f>IF(E82&lt;$B$3,"Coach","")</f>
        <v/>
      </c>
    </row>
    <row r="83" spans="1:10">
      <c r="A83" s="5" t="s">
        <v>268</v>
      </c>
      <c r="B83" s="5" t="s">
        <v>183</v>
      </c>
      <c r="C83" s="12">
        <v>540</v>
      </c>
      <c r="D83" s="12">
        <v>5</v>
      </c>
      <c r="E83" s="13">
        <f>1-D83/C83</f>
        <v>0.9907407407407407</v>
      </c>
      <c r="F83" s="12">
        <v>480</v>
      </c>
      <c r="G83" s="12">
        <v>475</v>
      </c>
      <c r="H83" s="13">
        <f>IF(F83=0,0,G83/F83)</f>
        <v>0.9895833333333334</v>
      </c>
      <c r="I83" s="12">
        <v>0</v>
      </c>
      <c r="J83" s="5">
        <f>IF(E83&lt;$B$3,"Coach","")</f>
        <v/>
      </c>
    </row>
    <row r="84" spans="1:10">
      <c r="A84" s="5" t="s">
        <v>269</v>
      </c>
      <c r="B84" s="5" t="s">
        <v>185</v>
      </c>
      <c r="C84" s="12">
        <v>540</v>
      </c>
      <c r="D84" s="12">
        <v>5</v>
      </c>
      <c r="E84" s="13">
        <f>1-D84/C84</f>
        <v>0.9907407407407407</v>
      </c>
      <c r="F84" s="12">
        <v>450</v>
      </c>
      <c r="G84" s="12">
        <v>445</v>
      </c>
      <c r="H84" s="13">
        <f>IF(F84=0,0,G84/F84)</f>
        <v>0.9888888888888889</v>
      </c>
      <c r="I84" s="12">
        <v>5</v>
      </c>
      <c r="J84" s="5">
        <f>IF(E84&lt;$B$3,"Coach","")</f>
        <v/>
      </c>
    </row>
    <row r="85" spans="1:10">
      <c r="A85" s="5" t="s">
        <v>270</v>
      </c>
      <c r="B85" s="5" t="s">
        <v>198</v>
      </c>
      <c r="C85" s="12">
        <v>240</v>
      </c>
      <c r="D85" s="12">
        <v>5</v>
      </c>
      <c r="E85" s="13">
        <f>1-D85/C85</f>
        <v>0.9791666666666666</v>
      </c>
      <c r="F85" s="12">
        <v>180</v>
      </c>
      <c r="G85" s="12">
        <v>185</v>
      </c>
      <c r="H85" s="13">
        <f>IF(F85=0,0,G85/F85)</f>
        <v>1.0277777777777777</v>
      </c>
      <c r="I85" s="12">
        <v>0</v>
      </c>
      <c r="J85" s="5">
        <f>IF(E85&lt;$B$3,"Coach","")</f>
        <v/>
      </c>
    </row>
    <row r="86" spans="1:10">
      <c r="A86" s="5" t="s">
        <v>271</v>
      </c>
      <c r="B86" s="5" t="s">
        <v>194</v>
      </c>
      <c r="C86" s="12">
        <v>540</v>
      </c>
      <c r="D86" s="12">
        <v>5</v>
      </c>
      <c r="E86" s="13">
        <f>1-D86/C86</f>
        <v>0.9907407407407407</v>
      </c>
      <c r="F86" s="12">
        <v>480</v>
      </c>
      <c r="G86" s="12">
        <v>475</v>
      </c>
      <c r="H86" s="13">
        <f>IF(F86=0,0,G86/F86)</f>
        <v>0.9895833333333334</v>
      </c>
      <c r="I86" s="12">
        <v>0</v>
      </c>
      <c r="J86" s="5">
        <f>IF(E86&lt;$B$3,"Coach","")</f>
        <v/>
      </c>
    </row>
    <row r="87" spans="1:10">
      <c r="A87" s="5" t="s">
        <v>272</v>
      </c>
      <c r="B87" s="5" t="s">
        <v>203</v>
      </c>
      <c r="C87" s="12">
        <v>30</v>
      </c>
      <c r="D87" s="12">
        <v>0</v>
      </c>
      <c r="E87" s="13">
        <f>1-D87/C87</f>
        <v>1.0</v>
      </c>
      <c r="F87" s="12">
        <v>30</v>
      </c>
      <c r="G87" s="12">
        <v>30</v>
      </c>
      <c r="H87" s="13">
        <f>IF(F87=0,0,G87/F87)</f>
        <v>1.0</v>
      </c>
      <c r="I87" s="12">
        <v>0</v>
      </c>
      <c r="J87" s="5">
        <f>IF(E87&lt;$B$3,"Coach","")</f>
        <v/>
      </c>
    </row>
    <row r="88" spans="1:10">
      <c r="A88" s="5" t="s">
        <v>273</v>
      </c>
      <c r="B88" s="5" t="s">
        <v>198</v>
      </c>
      <c r="C88" s="12">
        <v>120</v>
      </c>
      <c r="D88" s="12">
        <v>0</v>
      </c>
      <c r="E88" s="13">
        <f>1-D88/C88</f>
        <v>1.0</v>
      </c>
      <c r="F88" s="12">
        <v>120</v>
      </c>
      <c r="G88" s="12">
        <v>120</v>
      </c>
      <c r="H88" s="13">
        <f>IF(F88=0,0,G88/F88)</f>
        <v>1.0</v>
      </c>
      <c r="I88" s="12">
        <v>0</v>
      </c>
      <c r="J88" s="5">
        <f>IF(E88&lt;$B$3,"Coach","")</f>
        <v/>
      </c>
    </row>
    <row r="89" spans="1:10">
      <c r="A89" s="5" t="s">
        <v>274</v>
      </c>
      <c r="B89" s="5" t="s">
        <v>198</v>
      </c>
      <c r="C89" s="12">
        <v>120</v>
      </c>
      <c r="D89" s="12">
        <v>0</v>
      </c>
      <c r="E89" s="13">
        <f>1-D89/C89</f>
        <v>1.0</v>
      </c>
      <c r="F89" s="12">
        <v>120</v>
      </c>
      <c r="G89" s="12">
        <v>120</v>
      </c>
      <c r="H89" s="13">
        <f>IF(F89=0,0,G89/F89)</f>
        <v>1.0</v>
      </c>
      <c r="I89" s="12">
        <v>0</v>
      </c>
      <c r="J89" s="5">
        <f>IF(E89&lt;$B$3,"Coach","")</f>
        <v/>
      </c>
    </row>
    <row r="90" spans="1:10">
      <c r="A90" s="5" t="s">
        <v>275</v>
      </c>
      <c r="B90" s="5" t="s">
        <v>203</v>
      </c>
      <c r="C90" s="12">
        <v>120</v>
      </c>
      <c r="D90" s="12">
        <v>0</v>
      </c>
      <c r="E90" s="13">
        <f>1-D90/C90</f>
        <v>1.0</v>
      </c>
      <c r="F90" s="12">
        <v>120</v>
      </c>
      <c r="G90" s="12">
        <v>120</v>
      </c>
      <c r="H90" s="13">
        <f>IF(F90=0,0,G90/F90)</f>
        <v>1.0</v>
      </c>
      <c r="I90" s="12">
        <v>0</v>
      </c>
      <c r="J90" s="5">
        <f>IF(E90&lt;$B$3,"Coach","")</f>
        <v/>
      </c>
    </row>
    <row r="91" spans="1:10">
      <c r="A91" s="5" t="s">
        <v>276</v>
      </c>
      <c r="B91" s="5" t="s">
        <v>198</v>
      </c>
      <c r="C91" s="12">
        <v>120</v>
      </c>
      <c r="D91" s="12">
        <v>0</v>
      </c>
      <c r="E91" s="13">
        <f>1-D91/C91</f>
        <v>1.0</v>
      </c>
      <c r="F91" s="12">
        <v>120</v>
      </c>
      <c r="G91" s="12">
        <v>120</v>
      </c>
      <c r="H91" s="13">
        <f>IF(F91=0,0,G91/F91)</f>
        <v>1.0</v>
      </c>
      <c r="I91" s="12">
        <v>0</v>
      </c>
      <c r="J91" s="5">
        <f>IF(E91&lt;$B$3,"Coach","")</f>
        <v/>
      </c>
    </row>
    <row r="92" spans="1:10">
      <c r="A92" s="5" t="s">
        <v>277</v>
      </c>
      <c r="B92" s="5" t="s">
        <v>203</v>
      </c>
      <c r="C92" s="12">
        <v>60</v>
      </c>
      <c r="D92" s="12">
        <v>0</v>
      </c>
      <c r="E92" s="13">
        <f>1-D92/C92</f>
        <v>1.0</v>
      </c>
      <c r="F92" s="12">
        <v>60</v>
      </c>
      <c r="G92" s="12">
        <v>60</v>
      </c>
      <c r="H92" s="13">
        <f>IF(F92=0,0,G92/F92)</f>
        <v>1.0</v>
      </c>
      <c r="I92" s="12">
        <v>0</v>
      </c>
      <c r="J92" s="5">
        <f>IF(E92&lt;$B$3,"Coach","")</f>
        <v/>
      </c>
    </row>
    <row r="93" spans="1:10">
      <c r="A93" s="5" t="s">
        <v>278</v>
      </c>
      <c r="B93" s="5" t="s">
        <v>203</v>
      </c>
      <c r="C93" s="12">
        <v>30</v>
      </c>
      <c r="D93" s="12">
        <v>0</v>
      </c>
      <c r="E93" s="13">
        <f>1-D93/C93</f>
        <v>1.0</v>
      </c>
      <c r="F93" s="12">
        <v>30</v>
      </c>
      <c r="G93" s="12">
        <v>30</v>
      </c>
      <c r="H93" s="13">
        <f>IF(F93=0,0,G93/F93)</f>
        <v>1.0</v>
      </c>
      <c r="I93" s="12">
        <v>0</v>
      </c>
      <c r="J93" s="5">
        <f>IF(E93&lt;$B$3,"Coach","")</f>
        <v/>
      </c>
    </row>
    <row r="94" spans="1:10">
      <c r="A94" s="5" t="s">
        <v>279</v>
      </c>
      <c r="B94" s="5" t="s">
        <v>203</v>
      </c>
      <c r="C94" s="12">
        <v>60</v>
      </c>
      <c r="D94" s="12">
        <v>0</v>
      </c>
      <c r="E94" s="13">
        <f>1-D94/C94</f>
        <v>1.0</v>
      </c>
      <c r="F94" s="12">
        <v>60</v>
      </c>
      <c r="G94" s="12">
        <v>60</v>
      </c>
      <c r="H94" s="13">
        <f>IF(F94=0,0,G94/F94)</f>
        <v>1.0</v>
      </c>
      <c r="I94" s="12">
        <v>0</v>
      </c>
      <c r="J94" s="5">
        <f>IF(E94&lt;$B$3,"Coach","")</f>
        <v/>
      </c>
    </row>
    <row r="95" spans="1:10">
      <c r="A95" s="5" t="s">
        <v>280</v>
      </c>
      <c r="B95" s="5" t="s">
        <v>203</v>
      </c>
      <c r="C95" s="12">
        <v>30</v>
      </c>
      <c r="D95" s="12">
        <v>0</v>
      </c>
      <c r="E95" s="13">
        <f>1-D95/C95</f>
        <v>1.0</v>
      </c>
      <c r="F95" s="12">
        <v>30</v>
      </c>
      <c r="G95" s="12">
        <v>30</v>
      </c>
      <c r="H95" s="13">
        <f>IF(F95=0,0,G95/F95)</f>
        <v>1.0</v>
      </c>
      <c r="I95" s="12">
        <v>0</v>
      </c>
      <c r="J95" s="5">
        <f>IF(E95&lt;$B$3,"Coach","")</f>
        <v/>
      </c>
    </row>
    <row r="96" spans="1:10">
      <c r="A96" s="5" t="s">
        <v>281</v>
      </c>
      <c r="B96" s="5" t="s">
        <v>198</v>
      </c>
      <c r="C96" s="12">
        <v>180</v>
      </c>
      <c r="D96" s="12">
        <v>0</v>
      </c>
      <c r="E96" s="13">
        <f>1-D96/C96</f>
        <v>1.0</v>
      </c>
      <c r="F96" s="12">
        <v>180</v>
      </c>
      <c r="G96" s="12">
        <v>180</v>
      </c>
      <c r="H96" s="13">
        <f>IF(F96=0,0,G96/F96)</f>
        <v>1.0</v>
      </c>
      <c r="I96" s="12">
        <v>0</v>
      </c>
      <c r="J96" s="5">
        <f>IF(E96&lt;$B$3,"Coach","")</f>
        <v/>
      </c>
    </row>
    <row r="97" spans="1:10">
      <c r="A97" s="5" t="s">
        <v>282</v>
      </c>
      <c r="B97" s="5" t="s">
        <v>198</v>
      </c>
      <c r="C97" s="12">
        <v>150</v>
      </c>
      <c r="D97" s="12">
        <v>0</v>
      </c>
      <c r="E97" s="13">
        <f>1-D97/C97</f>
        <v>1.0</v>
      </c>
      <c r="F97" s="12">
        <v>150</v>
      </c>
      <c r="G97" s="12">
        <v>150</v>
      </c>
      <c r="H97" s="13">
        <f>IF(F97=0,0,G97/F97)</f>
        <v>1.0</v>
      </c>
      <c r="I97" s="12">
        <v>0</v>
      </c>
      <c r="J97" s="5">
        <f>IF(E97&lt;$B$3,"Coach","")</f>
        <v/>
      </c>
    </row>
    <row r="98" spans="1:10">
      <c r="A98" s="5" t="s">
        <v>283</v>
      </c>
      <c r="B98" s="5" t="s">
        <v>187</v>
      </c>
      <c r="C98" s="12">
        <v>540</v>
      </c>
      <c r="D98" s="12">
        <v>0</v>
      </c>
      <c r="E98" s="13">
        <f>1-D98/C98</f>
        <v>1.0</v>
      </c>
      <c r="F98" s="12">
        <v>480</v>
      </c>
      <c r="G98" s="12">
        <v>480</v>
      </c>
      <c r="H98" s="13">
        <f>IF(F98=0,0,G98/F98)</f>
        <v>1.0</v>
      </c>
      <c r="I98" s="12">
        <v>0</v>
      </c>
      <c r="J98" s="5">
        <f>IF(E98&lt;$B$3,"Coach","")</f>
        <v/>
      </c>
    </row>
    <row r="99" spans="1:10">
      <c r="A99" s="5" t="s">
        <v>284</v>
      </c>
      <c r="B99" s="5" t="s">
        <v>203</v>
      </c>
      <c r="C99" s="12">
        <v>90</v>
      </c>
      <c r="D99" s="12">
        <v>0</v>
      </c>
      <c r="E99" s="13">
        <f>1-D99/C99</f>
        <v>1.0</v>
      </c>
      <c r="F99" s="12">
        <v>90</v>
      </c>
      <c r="G99" s="12">
        <v>90</v>
      </c>
      <c r="H99" s="13">
        <f>IF(F99=0,0,G99/F99)</f>
        <v>1.0</v>
      </c>
      <c r="I99" s="12">
        <v>0</v>
      </c>
      <c r="J99" s="5">
        <f>IF(E99&lt;$B$3,"Coach","")</f>
        <v/>
      </c>
    </row>
    <row r="100" spans="1:10">
      <c r="A100" s="5" t="s">
        <v>285</v>
      </c>
      <c r="B100" s="5" t="s">
        <v>198</v>
      </c>
      <c r="C100" s="12">
        <v>210</v>
      </c>
      <c r="D100" s="12">
        <v>0</v>
      </c>
      <c r="E100" s="13">
        <f>1-D100/C100</f>
        <v>1.0</v>
      </c>
      <c r="F100" s="12">
        <v>180</v>
      </c>
      <c r="G100" s="12">
        <v>180</v>
      </c>
      <c r="H100" s="13">
        <f>IF(F100=0,0,G100/F100)</f>
        <v>1.0</v>
      </c>
      <c r="I100" s="12">
        <v>0</v>
      </c>
      <c r="J100" s="5">
        <f>IF(E100&lt;$B$3,"Coach","")</f>
        <v/>
      </c>
    </row>
    <row r="101" spans="1:10">
      <c r="A101" s="5" t="s">
        <v>286</v>
      </c>
      <c r="B101" s="5" t="s">
        <v>187</v>
      </c>
      <c r="C101" s="12">
        <v>540</v>
      </c>
      <c r="D101" s="12">
        <v>0</v>
      </c>
      <c r="E101" s="13">
        <f>1-D101/C101</f>
        <v>1.0</v>
      </c>
      <c r="F101" s="12">
        <v>480</v>
      </c>
      <c r="G101" s="12">
        <v>480</v>
      </c>
      <c r="H101" s="13">
        <f>IF(F101=0,0,G101/F101)</f>
        <v>1.0</v>
      </c>
      <c r="I101" s="12">
        <v>0</v>
      </c>
      <c r="J101" s="5">
        <f>IF(E101&lt;$B$3,"Coach","")</f>
        <v/>
      </c>
    </row>
    <row r="102" spans="1:10">
      <c r="A102" s="5" t="s">
        <v>287</v>
      </c>
      <c r="B102" s="5" t="s">
        <v>203</v>
      </c>
      <c r="C102" s="12">
        <v>30</v>
      </c>
      <c r="D102" s="12">
        <v>0</v>
      </c>
      <c r="E102" s="13">
        <f>1-D102/C102</f>
        <v>1.0</v>
      </c>
      <c r="F102" s="12">
        <v>30</v>
      </c>
      <c r="G102" s="12">
        <v>30</v>
      </c>
      <c r="H102" s="13">
        <f>IF(F102=0,0,G102/F102)</f>
        <v>1.0</v>
      </c>
      <c r="I102" s="12">
        <v>0</v>
      </c>
      <c r="J102" s="5">
        <f>IF(E102&lt;$B$3,"Coach","")</f>
        <v/>
      </c>
    </row>
    <row r="103" spans="1:10">
      <c r="A103" s="5" t="s">
        <v>288</v>
      </c>
      <c r="B103" s="5" t="s">
        <v>185</v>
      </c>
      <c r="C103" s="12">
        <v>540</v>
      </c>
      <c r="D103" s="12">
        <v>0</v>
      </c>
      <c r="E103" s="13">
        <f>1-D103/C103</f>
        <v>1.0</v>
      </c>
      <c r="F103" s="12">
        <v>480</v>
      </c>
      <c r="G103" s="12">
        <v>480</v>
      </c>
      <c r="H103" s="13">
        <f>IF(F103=0,0,G103/F103)</f>
        <v>1.0</v>
      </c>
      <c r="I103" s="12">
        <v>0</v>
      </c>
      <c r="J103" s="5">
        <f>IF(E103&lt;$B$3,"Coach","")</f>
        <v/>
      </c>
    </row>
    <row r="104" spans="1:10">
      <c r="A104" s="5" t="s">
        <v>289</v>
      </c>
      <c r="B104" s="5" t="s">
        <v>185</v>
      </c>
      <c r="C104" s="12">
        <v>540</v>
      </c>
      <c r="D104" s="12">
        <v>0</v>
      </c>
      <c r="E104" s="13">
        <f>1-D104/C104</f>
        <v>1.0</v>
      </c>
      <c r="F104" s="12">
        <v>480</v>
      </c>
      <c r="G104" s="12">
        <v>480</v>
      </c>
      <c r="H104" s="13">
        <f>IF(F104=0,0,G104/F104)</f>
        <v>1.0</v>
      </c>
      <c r="I104" s="12">
        <v>0</v>
      </c>
      <c r="J104" s="5">
        <f>IF(E104&lt;$B$3,"Coach","")</f>
        <v/>
      </c>
    </row>
    <row r="105" spans="1:10">
      <c r="A105" s="5" t="s">
        <v>290</v>
      </c>
      <c r="B105" s="5" t="s">
        <v>185</v>
      </c>
      <c r="C105" s="12">
        <v>540</v>
      </c>
      <c r="D105" s="12">
        <v>0</v>
      </c>
      <c r="E105" s="13">
        <f>1-D105/C105</f>
        <v>1.0</v>
      </c>
      <c r="F105" s="12">
        <v>480</v>
      </c>
      <c r="G105" s="12">
        <v>480</v>
      </c>
      <c r="H105" s="13">
        <f>IF(F105=0,0,G105/F105)</f>
        <v>1.0</v>
      </c>
      <c r="I105" s="12">
        <v>0</v>
      </c>
      <c r="J105" s="5">
        <f>IF(E105&lt;$B$3,"Coach","")</f>
        <v/>
      </c>
    </row>
    <row r="106" spans="1:10">
      <c r="A106" s="5" t="s">
        <v>291</v>
      </c>
      <c r="B106" s="5" t="s">
        <v>194</v>
      </c>
      <c r="C106" s="12">
        <v>540</v>
      </c>
      <c r="D106" s="12">
        <v>0</v>
      </c>
      <c r="E106" s="13">
        <f>1-D106/C106</f>
        <v>1.0</v>
      </c>
      <c r="F106" s="12">
        <v>480</v>
      </c>
      <c r="G106" s="12">
        <v>480</v>
      </c>
      <c r="H106" s="13">
        <f>IF(F106=0,0,G106/F106)</f>
        <v>1.0</v>
      </c>
      <c r="I106" s="12">
        <v>0</v>
      </c>
      <c r="J106" s="5">
        <f>IF(E106&lt;$B$3,"Coach","")</f>
        <v/>
      </c>
    </row>
    <row r="107" spans="1:10">
      <c r="A107" s="5" t="s">
        <v>292</v>
      </c>
      <c r="B107" s="5" t="s">
        <v>194</v>
      </c>
      <c r="C107" s="12">
        <v>540</v>
      </c>
      <c r="D107" s="12">
        <v>0</v>
      </c>
      <c r="E107" s="13">
        <f>1-D107/C107</f>
        <v>1.0</v>
      </c>
      <c r="F107" s="12">
        <v>420</v>
      </c>
      <c r="G107" s="12">
        <v>420</v>
      </c>
      <c r="H107" s="13">
        <f>IF(F107=0,0,G107/F107)</f>
        <v>1.0</v>
      </c>
      <c r="I107" s="12">
        <v>0</v>
      </c>
      <c r="J107" s="5">
        <f>IF(E107&lt;$B$3,"Coach","")</f>
        <v/>
      </c>
    </row>
    <row r="108" spans="1:10">
      <c r="A108" s="5" t="s">
        <v>293</v>
      </c>
      <c r="B108" s="5" t="s">
        <v>194</v>
      </c>
      <c r="C108" s="12">
        <v>540</v>
      </c>
      <c r="D108" s="12">
        <v>0</v>
      </c>
      <c r="E108" s="13">
        <f>1-D108/C108</f>
        <v>1.0</v>
      </c>
      <c r="F108" s="12">
        <v>480</v>
      </c>
      <c r="G108" s="12">
        <v>480</v>
      </c>
      <c r="H108" s="13">
        <f>IF(F108=0,0,G108/F108)</f>
        <v>1.0</v>
      </c>
      <c r="I108" s="12">
        <v>0</v>
      </c>
      <c r="J108" s="5">
        <f>IF(E108&lt;$B$3,"Coach","")</f>
        <v/>
      </c>
    </row>
    <row r="109" spans="1:10">
      <c r="A109" s="5" t="s">
        <v>294</v>
      </c>
      <c r="B109" s="5" t="s">
        <v>194</v>
      </c>
      <c r="C109" s="12">
        <v>540</v>
      </c>
      <c r="D109" s="12">
        <v>0</v>
      </c>
      <c r="E109" s="13">
        <f>1-D109/C109</f>
        <v>1.0</v>
      </c>
      <c r="F109" s="12">
        <v>420</v>
      </c>
      <c r="G109" s="12">
        <v>420</v>
      </c>
      <c r="H109" s="13">
        <f>IF(F109=0,0,G109/F109)</f>
        <v>1.0</v>
      </c>
      <c r="I109" s="12">
        <v>0</v>
      </c>
      <c r="J109" s="5">
        <f>IF(E109&lt;$B$3,"Coach","")</f>
        <v/>
      </c>
    </row>
    <row r="110" spans="1:10">
      <c r="A110" s="5" t="s">
        <v>295</v>
      </c>
      <c r="B110" s="5" t="s">
        <v>194</v>
      </c>
      <c r="C110" s="12">
        <v>540</v>
      </c>
      <c r="D110" s="12">
        <v>0</v>
      </c>
      <c r="E110" s="13">
        <f>1-D110/C110</f>
        <v>1.0</v>
      </c>
      <c r="F110" s="12">
        <v>480</v>
      </c>
      <c r="G110" s="12">
        <v>480</v>
      </c>
      <c r="H110" s="13">
        <f>IF(F110=0,0,G110/F110)</f>
        <v>1.0</v>
      </c>
      <c r="I110" s="12">
        <v>0</v>
      </c>
      <c r="J110" s="5">
        <f>IF(E110&lt;$B$3,"Coach","")</f>
        <v/>
      </c>
    </row>
    <row r="111" spans="1:10">
      <c r="A111" s="5" t="s">
        <v>296</v>
      </c>
      <c r="B111" s="5" t="s">
        <v>187</v>
      </c>
      <c r="C111" s="12">
        <v>540</v>
      </c>
      <c r="D111" s="12">
        <v>0</v>
      </c>
      <c r="E111" s="13">
        <f>1-D111/C111</f>
        <v>1.0</v>
      </c>
      <c r="F111" s="12">
        <v>480</v>
      </c>
      <c r="G111" s="12">
        <v>480</v>
      </c>
      <c r="H111" s="13">
        <f>IF(F111=0,0,G111/F111)</f>
        <v>1.0</v>
      </c>
      <c r="I111" s="12">
        <v>0</v>
      </c>
      <c r="J111" s="5">
        <f>IF(E111&lt;$B$3,"Coach","")</f>
        <v/>
      </c>
    </row>
    <row r="112" spans="1:10">
      <c r="A112" s="5" t="s">
        <v>297</v>
      </c>
      <c r="B112" s="5" t="s">
        <v>194</v>
      </c>
      <c r="C112" s="12">
        <v>540</v>
      </c>
      <c r="D112" s="12">
        <v>0</v>
      </c>
      <c r="E112" s="13">
        <f>1-D112/C112</f>
        <v>1.0</v>
      </c>
      <c r="F112" s="12">
        <v>480</v>
      </c>
      <c r="G112" s="12">
        <v>480</v>
      </c>
      <c r="H112" s="13">
        <f>IF(F112=0,0,G112/F112)</f>
        <v>1.0</v>
      </c>
      <c r="I112" s="12">
        <v>0</v>
      </c>
      <c r="J112" s="5">
        <f>IF(E112&lt;$B$3,"Coach","")</f>
        <v/>
      </c>
    </row>
    <row r="113" spans="1:10">
      <c r="A113" s="5" t="s">
        <v>298</v>
      </c>
      <c r="B113" s="5" t="s">
        <v>194</v>
      </c>
      <c r="C113" s="12">
        <v>540</v>
      </c>
      <c r="D113" s="12">
        <v>0</v>
      </c>
      <c r="E113" s="13">
        <f>1-D113/C113</f>
        <v>1.0</v>
      </c>
      <c r="F113" s="12">
        <v>450</v>
      </c>
      <c r="G113" s="12">
        <v>450</v>
      </c>
      <c r="H113" s="13">
        <f>IF(F113=0,0,G113/F113)</f>
        <v>1.0</v>
      </c>
      <c r="I113" s="12">
        <v>0</v>
      </c>
      <c r="J113" s="5">
        <f>IF(E113&lt;$B$3,"Coach","")</f>
        <v/>
      </c>
    </row>
    <row r="114" spans="1:10">
      <c r="A114" s="5" t="s">
        <v>299</v>
      </c>
      <c r="B114" s="5" t="s">
        <v>198</v>
      </c>
      <c r="C114" s="12">
        <v>180</v>
      </c>
      <c r="D114" s="12">
        <v>0</v>
      </c>
      <c r="E114" s="13">
        <f>1-D114/C114</f>
        <v>1.0</v>
      </c>
      <c r="F114" s="12">
        <v>120</v>
      </c>
      <c r="G114" s="12">
        <v>120</v>
      </c>
      <c r="H114" s="13">
        <f>IF(F114=0,0,G114/F114)</f>
        <v>1.0</v>
      </c>
      <c r="I114" s="12">
        <v>0</v>
      </c>
      <c r="J114" s="5">
        <f>IF(E114&lt;$B$3,"Coach","")</f>
        <v/>
      </c>
    </row>
    <row r="115" spans="1:10">
      <c r="A115" s="5" t="s">
        <v>300</v>
      </c>
      <c r="B115" s="5" t="s">
        <v>187</v>
      </c>
      <c r="C115" s="12">
        <v>540</v>
      </c>
      <c r="D115" s="12">
        <v>0</v>
      </c>
      <c r="E115" s="13">
        <f>1-D115/C115</f>
        <v>1.0</v>
      </c>
      <c r="F115" s="12">
        <v>450</v>
      </c>
      <c r="G115" s="12">
        <v>450</v>
      </c>
      <c r="H115" s="13">
        <f>IF(F115=0,0,G115/F115)</f>
        <v>1.0</v>
      </c>
      <c r="I115" s="12">
        <v>0</v>
      </c>
      <c r="J115" s="5">
        <f>IF(E115&lt;$B$3,"Coach","")</f>
        <v/>
      </c>
    </row>
    <row r="116" spans="1:10">
      <c r="A116" s="5" t="s">
        <v>301</v>
      </c>
      <c r="B116" s="5" t="s">
        <v>185</v>
      </c>
      <c r="C116" s="12">
        <v>540</v>
      </c>
      <c r="D116" s="12">
        <v>0</v>
      </c>
      <c r="E116" s="13">
        <f>1-D116/C116</f>
        <v>1.0</v>
      </c>
      <c r="F116" s="12">
        <v>480</v>
      </c>
      <c r="G116" s="12">
        <v>480</v>
      </c>
      <c r="H116" s="13">
        <f>IF(F116=0,0,G116/F116)</f>
        <v>1.0</v>
      </c>
      <c r="I116" s="12">
        <v>0</v>
      </c>
      <c r="J116" s="5">
        <f>IF(E116&lt;$B$3,"Coach","")</f>
        <v/>
      </c>
    </row>
    <row r="117" spans="1:10">
      <c r="A117" s="5" t="s">
        <v>302</v>
      </c>
      <c r="B117" s="5" t="s">
        <v>190</v>
      </c>
      <c r="C117" s="12">
        <v>540</v>
      </c>
      <c r="D117" s="12">
        <v>0</v>
      </c>
      <c r="E117" s="13">
        <f>1-D117/C117</f>
        <v>1.0</v>
      </c>
      <c r="F117" s="12">
        <v>480</v>
      </c>
      <c r="G117" s="12">
        <v>480</v>
      </c>
      <c r="H117" s="13">
        <f>IF(F117=0,0,G117/F117)</f>
        <v>1.0</v>
      </c>
      <c r="I117" s="12">
        <v>0</v>
      </c>
      <c r="J117" s="5">
        <f>IF(E117&lt;$B$3,"Coach","")</f>
        <v/>
      </c>
    </row>
    <row r="118" spans="1:10">
      <c r="A118" s="5" t="s">
        <v>303</v>
      </c>
      <c r="B118" s="5" t="s">
        <v>190</v>
      </c>
      <c r="C118" s="12">
        <v>540</v>
      </c>
      <c r="D118" s="12">
        <v>0</v>
      </c>
      <c r="E118" s="13">
        <f>1-D118/C118</f>
        <v>1.0</v>
      </c>
      <c r="F118" s="12">
        <v>480</v>
      </c>
      <c r="G118" s="12">
        <v>480</v>
      </c>
      <c r="H118" s="13">
        <f>IF(F118=0,0,G118/F118)</f>
        <v>1.0</v>
      </c>
      <c r="I118" s="12">
        <v>0</v>
      </c>
      <c r="J118" s="5">
        <f>IF(E118&lt;$B$3,"Coach","")</f>
        <v/>
      </c>
    </row>
    <row r="119" spans="1:10">
      <c r="A119" s="5" t="s">
        <v>304</v>
      </c>
      <c r="B119" s="5" t="s">
        <v>210</v>
      </c>
      <c r="C119" s="12">
        <v>540</v>
      </c>
      <c r="D119" s="12">
        <v>0</v>
      </c>
      <c r="E119" s="13">
        <f>1-D119/C119</f>
        <v>1.0</v>
      </c>
      <c r="F119" s="12">
        <v>480</v>
      </c>
      <c r="G119" s="12">
        <v>480</v>
      </c>
      <c r="H119" s="13">
        <f>IF(F119=0,0,G119/F119)</f>
        <v>1.0</v>
      </c>
      <c r="I119" s="12">
        <v>0</v>
      </c>
      <c r="J119" s="5">
        <f>IF(E119&lt;$B$3,"Coach","")</f>
        <v/>
      </c>
    </row>
    <row r="120" spans="1:10">
      <c r="A120" s="5" t="s">
        <v>305</v>
      </c>
      <c r="B120" s="5" t="s">
        <v>210</v>
      </c>
      <c r="C120" s="12">
        <v>540</v>
      </c>
      <c r="D120" s="12">
        <v>0</v>
      </c>
      <c r="E120" s="13">
        <f>1-D120/C120</f>
        <v>1.0</v>
      </c>
      <c r="F120" s="12">
        <v>480</v>
      </c>
      <c r="G120" s="12">
        <v>480</v>
      </c>
      <c r="H120" s="13">
        <f>IF(F120=0,0,G120/F120)</f>
        <v>1.0</v>
      </c>
      <c r="I120" s="12">
        <v>0</v>
      </c>
      <c r="J120" s="5">
        <f>IF(E120&lt;$B$3,"Coach","")</f>
        <v/>
      </c>
    </row>
    <row r="121" spans="1:10">
      <c r="A121" s="5" t="s">
        <v>306</v>
      </c>
      <c r="B121" s="5" t="s">
        <v>210</v>
      </c>
      <c r="C121" s="12">
        <v>540</v>
      </c>
      <c r="D121" s="12">
        <v>0</v>
      </c>
      <c r="E121" s="13">
        <f>1-D121/C121</f>
        <v>1.0</v>
      </c>
      <c r="F121" s="12">
        <v>480</v>
      </c>
      <c r="G121" s="12">
        <v>480</v>
      </c>
      <c r="H121" s="13">
        <f>IF(F121=0,0,G121/F121)</f>
        <v>1.0</v>
      </c>
      <c r="I121" s="12">
        <v>0</v>
      </c>
      <c r="J121" s="5">
        <f>IF(E121&lt;$B$3,"Coach","")</f>
        <v/>
      </c>
    </row>
    <row r="122" spans="1:10">
      <c r="A122" s="5" t="s">
        <v>307</v>
      </c>
      <c r="B122" s="5" t="s">
        <v>210</v>
      </c>
      <c r="C122" s="12">
        <v>540</v>
      </c>
      <c r="D122" s="12">
        <v>0</v>
      </c>
      <c r="E122" s="13">
        <f>1-D122/C122</f>
        <v>1.0</v>
      </c>
      <c r="F122" s="12">
        <v>480</v>
      </c>
      <c r="G122" s="12">
        <v>480</v>
      </c>
      <c r="H122" s="13">
        <f>IF(F122=0,0,G122/F122)</f>
        <v>1.0</v>
      </c>
      <c r="I122" s="12">
        <v>0</v>
      </c>
      <c r="J122" s="5">
        <f>IF(E122&lt;$B$3,"Coach","")</f>
        <v/>
      </c>
    </row>
    <row r="123" spans="1:10">
      <c r="A123" s="5" t="s">
        <v>308</v>
      </c>
      <c r="B123" s="5" t="s">
        <v>190</v>
      </c>
      <c r="C123" s="12">
        <v>540</v>
      </c>
      <c r="D123" s="12">
        <v>0</v>
      </c>
      <c r="E123" s="13">
        <f>1-D123/C123</f>
        <v>1.0</v>
      </c>
      <c r="F123" s="12">
        <v>450</v>
      </c>
      <c r="G123" s="12">
        <v>450</v>
      </c>
      <c r="H123" s="13">
        <f>IF(F123=0,0,G123/F123)</f>
        <v>1.0</v>
      </c>
      <c r="I123" s="12">
        <v>0</v>
      </c>
      <c r="J123" s="5">
        <f>IF(E123&lt;$B$3,"Coach","")</f>
        <v/>
      </c>
    </row>
    <row r="124" spans="1:10">
      <c r="A124" s="5" t="s">
        <v>309</v>
      </c>
      <c r="B124" s="5" t="s">
        <v>190</v>
      </c>
      <c r="C124" s="12">
        <v>540</v>
      </c>
      <c r="D124" s="12">
        <v>0</v>
      </c>
      <c r="E124" s="13">
        <f>1-D124/C124</f>
        <v>1.0</v>
      </c>
      <c r="F124" s="12">
        <v>480</v>
      </c>
      <c r="G124" s="12">
        <v>480</v>
      </c>
      <c r="H124" s="13">
        <f>IF(F124=0,0,G124/F124)</f>
        <v>1.0</v>
      </c>
      <c r="I124" s="12">
        <v>0</v>
      </c>
      <c r="J124" s="5">
        <f>IF(E124&lt;$B$3,"Coach","")</f>
        <v/>
      </c>
    </row>
    <row r="125" spans="1:10">
      <c r="A125" s="5" t="s">
        <v>310</v>
      </c>
      <c r="B125" s="5" t="s">
        <v>207</v>
      </c>
      <c r="C125" s="12">
        <v>450</v>
      </c>
      <c r="D125" s="12">
        <v>0</v>
      </c>
      <c r="E125" s="13">
        <f>1-D125/C125</f>
        <v>1.0</v>
      </c>
      <c r="F125" s="12">
        <v>390</v>
      </c>
      <c r="G125" s="12">
        <v>390</v>
      </c>
      <c r="H125" s="13">
        <f>IF(F125=0,0,G125/F125)</f>
        <v>1.0</v>
      </c>
      <c r="I125" s="12">
        <v>0</v>
      </c>
      <c r="J125" s="5">
        <f>IF(E125&lt;$B$3,"Coach","")</f>
        <v/>
      </c>
    </row>
    <row r="126" spans="1:10">
      <c r="A126" s="5" t="s">
        <v>311</v>
      </c>
      <c r="B126" s="5" t="s">
        <v>207</v>
      </c>
      <c r="C126" s="12">
        <v>450</v>
      </c>
      <c r="D126" s="12">
        <v>0</v>
      </c>
      <c r="E126" s="13">
        <f>1-D126/C126</f>
        <v>1.0</v>
      </c>
      <c r="F126" s="12">
        <v>390</v>
      </c>
      <c r="G126" s="12">
        <v>390</v>
      </c>
      <c r="H126" s="13">
        <f>IF(F126=0,0,G126/F126)</f>
        <v>1.0</v>
      </c>
      <c r="I126" s="12">
        <v>0</v>
      </c>
      <c r="J126" s="5">
        <f>IF(E126&lt;$B$3,"Coach","")</f>
        <v/>
      </c>
    </row>
    <row r="127" spans="1:10">
      <c r="A127" s="5" t="s">
        <v>312</v>
      </c>
      <c r="B127" s="5" t="s">
        <v>207</v>
      </c>
      <c r="C127" s="12">
        <v>390</v>
      </c>
      <c r="D127" s="12">
        <v>0</v>
      </c>
      <c r="E127" s="13">
        <f>1-D127/C127</f>
        <v>1.0</v>
      </c>
      <c r="F127" s="12">
        <v>330</v>
      </c>
      <c r="G127" s="12">
        <v>330</v>
      </c>
      <c r="H127" s="13">
        <f>IF(F127=0,0,G127/F127)</f>
        <v>1.0</v>
      </c>
      <c r="I127" s="12">
        <v>0</v>
      </c>
      <c r="J127" s="5">
        <f>IF(E127&lt;$B$3,"Coach","")</f>
        <v/>
      </c>
    </row>
    <row r="128" spans="1:10">
      <c r="A128" s="5" t="s">
        <v>313</v>
      </c>
      <c r="B128" s="5" t="s">
        <v>207</v>
      </c>
      <c r="C128" s="12">
        <v>450</v>
      </c>
      <c r="D128" s="12">
        <v>0</v>
      </c>
      <c r="E128" s="13">
        <f>1-D128/C128</f>
        <v>1.0</v>
      </c>
      <c r="F128" s="12">
        <v>390</v>
      </c>
      <c r="G128" s="12">
        <v>390</v>
      </c>
      <c r="H128" s="13">
        <f>IF(F128=0,0,G128/F128)</f>
        <v>1.0</v>
      </c>
      <c r="I128" s="12">
        <v>0</v>
      </c>
      <c r="J128" s="5">
        <f>IF(E128&lt;$B$3,"Coach","")</f>
        <v/>
      </c>
    </row>
    <row r="129" spans="1:10">
      <c r="A129" s="5" t="s">
        <v>314</v>
      </c>
      <c r="B129" s="5" t="s">
        <v>207</v>
      </c>
      <c r="C129" s="12">
        <v>330</v>
      </c>
      <c r="D129" s="12">
        <v>0</v>
      </c>
      <c r="E129" s="13">
        <f>1-D129/C129</f>
        <v>1.0</v>
      </c>
      <c r="F129" s="12">
        <v>240</v>
      </c>
      <c r="G129" s="12">
        <v>240</v>
      </c>
      <c r="H129" s="13">
        <f>IF(F129=0,0,G129/F129)</f>
        <v>1.0</v>
      </c>
      <c r="I129" s="12">
        <v>0</v>
      </c>
      <c r="J129" s="5">
        <f>IF(E129&lt;$B$3,"Coach","")</f>
        <v/>
      </c>
    </row>
    <row r="130" spans="1:10">
      <c r="A130" s="5" t="s">
        <v>315</v>
      </c>
      <c r="B130" s="5" t="s">
        <v>207</v>
      </c>
      <c r="C130" s="12">
        <v>330</v>
      </c>
      <c r="D130" s="12">
        <v>0</v>
      </c>
      <c r="E130" s="13">
        <f>1-D130/C130</f>
        <v>1.0</v>
      </c>
      <c r="F130" s="12">
        <v>300</v>
      </c>
      <c r="G130" s="12">
        <v>300</v>
      </c>
      <c r="H130" s="13">
        <f>IF(F130=0,0,G130/F130)</f>
        <v>1.0</v>
      </c>
      <c r="I130" s="12">
        <v>0</v>
      </c>
      <c r="J130" s="5">
        <f>IF(E130&lt;$B$3,"Coach","")</f>
        <v/>
      </c>
    </row>
    <row r="131" spans="1:10">
      <c r="A131" s="5" t="s">
        <v>316</v>
      </c>
      <c r="B131" s="5" t="s">
        <v>207</v>
      </c>
      <c r="C131" s="12">
        <v>330</v>
      </c>
      <c r="D131" s="12">
        <v>0</v>
      </c>
      <c r="E131" s="13">
        <f>1-D131/C131</f>
        <v>1.0</v>
      </c>
      <c r="F131" s="12">
        <v>240</v>
      </c>
      <c r="G131" s="12">
        <v>240</v>
      </c>
      <c r="H131" s="13">
        <f>IF(F131=0,0,G131/F131)</f>
        <v>1.0</v>
      </c>
      <c r="I131" s="12">
        <v>0</v>
      </c>
      <c r="J131" s="5">
        <f>IF(E131&lt;$B$3,"Coach","")</f>
        <v/>
      </c>
    </row>
    <row r="132" spans="1:10">
      <c r="A132" s="5" t="s">
        <v>317</v>
      </c>
      <c r="B132" s="5" t="s">
        <v>318</v>
      </c>
      <c r="C132" s="12">
        <v>300</v>
      </c>
      <c r="D132" s="12">
        <v>0</v>
      </c>
      <c r="E132" s="13">
        <f>1-D132/C132</f>
        <v>1.0</v>
      </c>
      <c r="F132" s="12">
        <v>240</v>
      </c>
      <c r="G132" s="12">
        <v>240</v>
      </c>
      <c r="H132" s="13">
        <f>IF(F132=0,0,G132/F132)</f>
        <v>1.0</v>
      </c>
      <c r="I132" s="12">
        <v>0</v>
      </c>
      <c r="J132" s="5">
        <f>IF(E132&lt;$B$3,"Coach","")</f>
        <v/>
      </c>
    </row>
    <row r="133" spans="1:10">
      <c r="A133" s="5" t="s">
        <v>319</v>
      </c>
      <c r="B133" s="5" t="s">
        <v>318</v>
      </c>
      <c r="C133" s="12">
        <v>300</v>
      </c>
      <c r="D133" s="12">
        <v>0</v>
      </c>
      <c r="E133" s="13">
        <f>1-D133/C133</f>
        <v>1.0</v>
      </c>
      <c r="F133" s="12">
        <v>300</v>
      </c>
      <c r="G133" s="12">
        <v>300</v>
      </c>
      <c r="H133" s="13">
        <f>IF(F133=0,0,G133/F133)</f>
        <v>1.0</v>
      </c>
      <c r="I133" s="12">
        <v>0</v>
      </c>
      <c r="J133" s="5">
        <f>IF(E133&lt;$B$3,"Coach","")</f>
        <v/>
      </c>
    </row>
    <row r="134" spans="1:10">
      <c r="A134" s="5" t="s">
        <v>320</v>
      </c>
      <c r="B134" s="5" t="s">
        <v>318</v>
      </c>
      <c r="C134" s="12">
        <v>300</v>
      </c>
      <c r="D134" s="12">
        <v>0</v>
      </c>
      <c r="E134" s="13">
        <f>1-D134/C134</f>
        <v>1.0</v>
      </c>
      <c r="F134" s="12">
        <v>300</v>
      </c>
      <c r="G134" s="12">
        <v>300</v>
      </c>
      <c r="H134" s="13">
        <f>IF(F134=0,0,G134/F134)</f>
        <v>1.0</v>
      </c>
      <c r="I134" s="12">
        <v>0</v>
      </c>
      <c r="J134" s="5">
        <f>IF(E134&lt;$B$3,"Coach","")</f>
        <v/>
      </c>
    </row>
  </sheetData>
  <autoFilter ref="A5:J134"/>
  <conditionalFormatting sqref="E6:E134">
    <cfRule type="dataBar" priority="1">
      <dataBar>
        <cfvo type="num" val="0"/>
        <cfvo type="num" val="1"/>
        <color rgb="FF9EC5F4"/>
      </dataBar>
    </cfRule>
  </conditionalFormatting>
  <conditionalFormatting sqref="J6:J134">
    <cfRule type="containsText" dxfId="2" priority="2" operator="containsText" text="Coach">
      <formula>NOT(ISERROR(SEARCH("Coach",J6)))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Erlang C</vt:lpstr>
      <vt:lpstr>Interval report</vt:lpstr>
      <vt:lpstr>Shrinkage</vt:lpstr>
      <vt:lpstr>Capacity plan</vt:lpstr>
      <vt:lpstr>Adherence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NileConnect WFM workbook</dc:title>
  <dc:creator/>
  <dc:description>Fictional company; synthetic data.</dc:description>
  <cp:lastModifiedBy/>
  <dcterms:created xsi:type="dcterms:W3CDTF">2026-10-20T15:02:52Z</dcterms:created>
  <dcterms:modified xsi:type="dcterms:W3CDTF">2026-10-20T15:02:52Z</dcterms:modified>
</cp:coreProperties>
</file>